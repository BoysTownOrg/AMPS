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bosadak\Documents\Projects\AMPS\AMPS\stimuli\"/>
    </mc:Choice>
  </mc:AlternateContent>
  <xr:revisionPtr revIDLastSave="0" documentId="13_ncr:1_{0AC8C04A-88EC-4B3A-AC81-C94024935103}" xr6:coauthVersionLast="44" xr6:coauthVersionMax="44" xr10:uidLastSave="{00000000-0000-0000-0000-000000000000}"/>
  <bookViews>
    <workbookView xWindow="33255" yWindow="4215" windowWidth="21600" windowHeight="11385" activeTab="6" xr2:uid="{00000000-000D-0000-FFFF-FFFF00000000}"/>
  </bookViews>
  <sheets>
    <sheet name="KEY" sheetId="4" r:id="rId1"/>
    <sheet name="Transcriptions" sheetId="5" r:id="rId2"/>
    <sheet name="Dissimilar_PED" sheetId="3" r:id="rId3"/>
    <sheet name="Veridical_PED" sheetId="2" r:id="rId4"/>
    <sheet name="Spurious_PED" sheetId="1" r:id="rId5"/>
    <sheet name="WordChar" sheetId="7" r:id="rId6"/>
    <sheet name="Word Frequency" sheetId="6" r:id="rId7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R23" i="6" l="1"/>
  <c r="R24" i="6"/>
  <c r="R25" i="6"/>
  <c r="R26" i="6"/>
  <c r="R27" i="6"/>
  <c r="R28" i="6"/>
  <c r="R29" i="6"/>
  <c r="R30" i="6"/>
  <c r="R31" i="6"/>
  <c r="R22" i="6"/>
  <c r="Q13" i="6"/>
  <c r="Q14" i="6"/>
  <c r="Q15" i="6"/>
  <c r="Q16" i="6"/>
  <c r="Q17" i="6"/>
  <c r="Q18" i="6"/>
  <c r="Q19" i="6"/>
  <c r="Q20" i="6"/>
  <c r="Q21" i="6"/>
  <c r="P3" i="6"/>
  <c r="P4" i="6"/>
  <c r="P5" i="6"/>
  <c r="P6" i="6"/>
  <c r="P7" i="6"/>
  <c r="P8" i="6"/>
  <c r="P9" i="6"/>
  <c r="P10" i="6"/>
  <c r="P11" i="6"/>
  <c r="Q12" i="6"/>
  <c r="U34" i="6"/>
  <c r="T34" i="6"/>
  <c r="S34" i="6"/>
  <c r="U33" i="6"/>
  <c r="T33" i="6"/>
  <c r="S33" i="6"/>
  <c r="T3" i="6"/>
  <c r="U3" i="6"/>
  <c r="T4" i="6"/>
  <c r="U4" i="6"/>
  <c r="T5" i="6"/>
  <c r="U5" i="6"/>
  <c r="T6" i="6"/>
  <c r="U6" i="6"/>
  <c r="T7" i="6"/>
  <c r="U7" i="6"/>
  <c r="T8" i="6"/>
  <c r="U8" i="6"/>
  <c r="T9" i="6"/>
  <c r="U9" i="6"/>
  <c r="T10" i="6"/>
  <c r="U10" i="6"/>
  <c r="T11" i="6"/>
  <c r="U11" i="6"/>
  <c r="T12" i="6"/>
  <c r="U12" i="6"/>
  <c r="T13" i="6"/>
  <c r="U13" i="6"/>
  <c r="T14" i="6"/>
  <c r="U14" i="6"/>
  <c r="T15" i="6"/>
  <c r="U15" i="6"/>
  <c r="T16" i="6"/>
  <c r="U16" i="6"/>
  <c r="T17" i="6"/>
  <c r="U17" i="6"/>
  <c r="T18" i="6"/>
  <c r="U18" i="6"/>
  <c r="T19" i="6"/>
  <c r="U19" i="6"/>
  <c r="T20" i="6"/>
  <c r="U20" i="6"/>
  <c r="T21" i="6"/>
  <c r="U21" i="6"/>
  <c r="T22" i="6"/>
  <c r="U22" i="6"/>
  <c r="T23" i="6"/>
  <c r="U23" i="6"/>
  <c r="T24" i="6"/>
  <c r="U24" i="6"/>
  <c r="T25" i="6"/>
  <c r="U25" i="6"/>
  <c r="T26" i="6"/>
  <c r="U26" i="6"/>
  <c r="T27" i="6"/>
  <c r="U27" i="6"/>
  <c r="T28" i="6"/>
  <c r="U28" i="6"/>
  <c r="T29" i="6"/>
  <c r="U29" i="6"/>
  <c r="T30" i="6"/>
  <c r="U30" i="6"/>
  <c r="T31" i="6"/>
  <c r="U31" i="6"/>
  <c r="U2" i="6"/>
  <c r="T2" i="6"/>
  <c r="S3" i="6"/>
  <c r="S4" i="6"/>
  <c r="S5" i="6"/>
  <c r="S6" i="6"/>
  <c r="S7" i="6"/>
  <c r="S8" i="6"/>
  <c r="S9" i="6"/>
  <c r="S10" i="6"/>
  <c r="S11" i="6"/>
  <c r="S12" i="6"/>
  <c r="S13" i="6"/>
  <c r="S14" i="6"/>
  <c r="S15" i="6"/>
  <c r="S16" i="6"/>
  <c r="S17" i="6"/>
  <c r="S18" i="6"/>
  <c r="S19" i="6"/>
  <c r="S20" i="6"/>
  <c r="S21" i="6"/>
  <c r="S22" i="6"/>
  <c r="S23" i="6"/>
  <c r="S24" i="6"/>
  <c r="S25" i="6"/>
  <c r="S26" i="6"/>
  <c r="S27" i="6"/>
  <c r="S28" i="6"/>
  <c r="S29" i="6"/>
  <c r="S30" i="6"/>
  <c r="S31" i="6"/>
  <c r="S2" i="6"/>
  <c r="I17" i="7" l="1"/>
  <c r="H17" i="7"/>
  <c r="G17" i="7"/>
  <c r="F17" i="7"/>
  <c r="J17" i="6"/>
  <c r="I17" i="6"/>
  <c r="H17" i="6"/>
  <c r="G17" i="6"/>
  <c r="P2" i="6"/>
  <c r="J38" i="3"/>
  <c r="J47" i="3"/>
  <c r="J37" i="3"/>
  <c r="J35" i="3"/>
  <c r="J32" i="3"/>
  <c r="J28" i="3"/>
  <c r="J23" i="3"/>
  <c r="J17" i="3"/>
  <c r="J10" i="3"/>
  <c r="J2" i="3"/>
  <c r="J47" i="1"/>
  <c r="J46" i="1"/>
  <c r="J44" i="1"/>
  <c r="J41" i="1"/>
  <c r="J37" i="1"/>
  <c r="J32" i="1"/>
  <c r="J26" i="1"/>
  <c r="J19" i="1"/>
  <c r="J11" i="1"/>
  <c r="J2" i="1"/>
  <c r="J47" i="2" l="1"/>
  <c r="J46" i="2"/>
  <c r="J44" i="2"/>
  <c r="J41" i="2"/>
  <c r="J37" i="2"/>
  <c r="J32" i="2"/>
  <c r="J26" i="2"/>
  <c r="J19" i="2"/>
  <c r="J11" i="2"/>
  <c r="J2" i="2"/>
  <c r="Q2" i="6" l="1"/>
  <c r="Q3" i="6"/>
  <c r="Q4" i="6"/>
  <c r="Q5" i="6"/>
  <c r="Q6" i="6"/>
  <c r="Q7" i="6"/>
  <c r="Q8" i="6"/>
  <c r="Q9" i="6"/>
  <c r="Q10" i="6"/>
  <c r="Q11" i="6"/>
  <c r="Q22" i="6"/>
  <c r="Q23" i="6"/>
  <c r="Q24" i="6"/>
  <c r="Q25" i="6"/>
  <c r="Q26" i="6"/>
  <c r="Q27" i="6"/>
  <c r="Q28" i="6"/>
  <c r="Q29" i="6"/>
  <c r="Q30" i="6"/>
  <c r="Q31" i="6"/>
  <c r="R2" i="6"/>
  <c r="R3" i="6"/>
  <c r="R4" i="6"/>
  <c r="R5" i="6"/>
  <c r="R6" i="6"/>
  <c r="R7" i="6"/>
  <c r="R8" i="6"/>
  <c r="R9" i="6"/>
  <c r="R10" i="6"/>
  <c r="R11" i="6"/>
  <c r="R12" i="6"/>
  <c r="R13" i="6"/>
  <c r="R14" i="6"/>
  <c r="R15" i="6"/>
  <c r="R16" i="6"/>
  <c r="R17" i="6"/>
  <c r="R18" i="6"/>
  <c r="R19" i="6"/>
  <c r="R20" i="6"/>
  <c r="R21" i="6"/>
  <c r="P12" i="6"/>
  <c r="P13" i="6"/>
  <c r="P14" i="6"/>
  <c r="P15" i="6"/>
  <c r="P16" i="6"/>
  <c r="P17" i="6"/>
  <c r="P18" i="6"/>
  <c r="P19" i="6"/>
  <c r="P20" i="6"/>
  <c r="P21" i="6"/>
  <c r="P22" i="6"/>
  <c r="P23" i="6"/>
  <c r="P24" i="6"/>
  <c r="P25" i="6"/>
  <c r="P26" i="6"/>
  <c r="P27" i="6"/>
  <c r="P28" i="6"/>
  <c r="P29" i="6"/>
  <c r="P30" i="6"/>
  <c r="P31" i="6"/>
  <c r="N2" i="6"/>
  <c r="N3" i="6"/>
  <c r="N4" i="6"/>
  <c r="N5" i="6"/>
  <c r="N6" i="6"/>
  <c r="N7" i="6"/>
  <c r="N8" i="6"/>
  <c r="N9" i="6"/>
  <c r="N10" i="6"/>
  <c r="N11" i="6"/>
  <c r="N12" i="6"/>
  <c r="N13" i="6"/>
  <c r="N14" i="6"/>
  <c r="N15" i="6"/>
  <c r="N16" i="6"/>
  <c r="N17" i="6"/>
  <c r="N18" i="6"/>
  <c r="N19" i="6"/>
  <c r="N20" i="6"/>
  <c r="N21" i="6"/>
  <c r="N22" i="6"/>
  <c r="N23" i="6"/>
  <c r="N24" i="6"/>
  <c r="N25" i="6"/>
  <c r="N26" i="6"/>
  <c r="N27" i="6"/>
  <c r="N28" i="6"/>
  <c r="N29" i="6"/>
  <c r="N30" i="6"/>
  <c r="N31" i="6"/>
  <c r="O2" i="6"/>
  <c r="O3" i="6"/>
  <c r="O4" i="6"/>
  <c r="O5" i="6"/>
  <c r="O6" i="6"/>
  <c r="O7" i="6"/>
  <c r="O8" i="6"/>
  <c r="O9" i="6"/>
  <c r="O10" i="6"/>
  <c r="O11" i="6"/>
  <c r="O12" i="6"/>
  <c r="O13" i="6"/>
  <c r="O14" i="6"/>
  <c r="O15" i="6"/>
  <c r="O16" i="6"/>
  <c r="O17" i="6"/>
  <c r="O18" i="6"/>
  <c r="O19" i="6"/>
  <c r="O20" i="6"/>
  <c r="O21" i="6"/>
  <c r="O22" i="6"/>
  <c r="O23" i="6"/>
  <c r="O24" i="6"/>
  <c r="O25" i="6"/>
  <c r="O26" i="6"/>
  <c r="O27" i="6"/>
  <c r="O28" i="6"/>
  <c r="O29" i="6"/>
  <c r="O30" i="6"/>
  <c r="O31" i="6"/>
  <c r="M2" i="6"/>
  <c r="M3" i="6"/>
  <c r="M4" i="6"/>
  <c r="M5" i="6"/>
  <c r="M6" i="6"/>
  <c r="M7" i="6"/>
  <c r="M8" i="6"/>
  <c r="M9" i="6"/>
  <c r="M10" i="6"/>
  <c r="M11" i="6"/>
  <c r="M12" i="6"/>
  <c r="M13" i="6"/>
  <c r="M14" i="6"/>
  <c r="M15" i="6"/>
  <c r="M16" i="6"/>
  <c r="M17" i="6"/>
  <c r="M18" i="6"/>
  <c r="M19" i="6"/>
  <c r="M20" i="6"/>
  <c r="M21" i="6"/>
  <c r="M22" i="6"/>
  <c r="M23" i="6"/>
  <c r="M24" i="6"/>
  <c r="M25" i="6"/>
  <c r="M26" i="6"/>
  <c r="M27" i="6"/>
  <c r="M28" i="6"/>
  <c r="M29" i="6"/>
  <c r="M30" i="6"/>
  <c r="M31" i="6"/>
  <c r="H48" i="3"/>
  <c r="H49" i="3"/>
  <c r="H48" i="2"/>
  <c r="H49" i="2"/>
  <c r="P33" i="6" l="1"/>
  <c r="M33" i="6"/>
  <c r="R34" i="6"/>
  <c r="O34" i="6"/>
  <c r="O33" i="6"/>
  <c r="N33" i="6"/>
  <c r="R33" i="6"/>
  <c r="Q33" i="6"/>
  <c r="M34" i="6"/>
  <c r="P34" i="6"/>
  <c r="Q34" i="6"/>
  <c r="N34" i="6"/>
</calcChain>
</file>

<file path=xl/sharedStrings.xml><?xml version="1.0" encoding="utf-8"?>
<sst xmlns="http://schemas.openxmlformats.org/spreadsheetml/2006/main" count="1207" uniqueCount="121">
  <si>
    <t>Corpus</t>
  </si>
  <si>
    <t>First word</t>
  </si>
  <si>
    <t>Second word</t>
  </si>
  <si>
    <t>Algorithm</t>
  </si>
  <si>
    <t>String type</t>
  </si>
  <si>
    <t>Frequency type</t>
  </si>
  <si>
    <t>Pronunciation variants</t>
  </si>
  <si>
    <t>Result</t>
  </si>
  <si>
    <t>Phonological edit distance</t>
  </si>
  <si>
    <t>Transcription</t>
  </si>
  <si>
    <t>N/A</t>
  </si>
  <si>
    <t>Canonical Form</t>
  </si>
  <si>
    <t>pain</t>
  </si>
  <si>
    <t>wet</t>
  </si>
  <si>
    <t>mean</t>
  </si>
  <si>
    <t>sd</t>
  </si>
  <si>
    <t>tap</t>
  </si>
  <si>
    <t>tan</t>
  </si>
  <si>
    <t>ForPCT_sim</t>
  </si>
  <si>
    <t>rat</t>
  </si>
  <si>
    <t>ran</t>
  </si>
  <si>
    <t>pat</t>
  </si>
  <si>
    <t>pan</t>
  </si>
  <si>
    <t>mat</t>
  </si>
  <si>
    <t>man</t>
  </si>
  <si>
    <t>bat</t>
  </si>
  <si>
    <t>bag</t>
  </si>
  <si>
    <t>tree</t>
  </si>
  <si>
    <t>spoon</t>
  </si>
  <si>
    <t>ForPCT_dis</t>
  </si>
  <si>
    <t>kite</t>
  </si>
  <si>
    <t>hand</t>
  </si>
  <si>
    <t>fish</t>
  </si>
  <si>
    <t>door</t>
  </si>
  <si>
    <t>clock</t>
  </si>
  <si>
    <t>bus</t>
  </si>
  <si>
    <t>bird</t>
  </si>
  <si>
    <t>Dissimilar_PED</t>
  </si>
  <si>
    <t>Spelling</t>
  </si>
  <si>
    <t>p.æ.n</t>
  </si>
  <si>
    <t>t.æ.p</t>
  </si>
  <si>
    <t>b.æ.t</t>
  </si>
  <si>
    <t>m.æ.n</t>
  </si>
  <si>
    <t>ɹ.æ.t</t>
  </si>
  <si>
    <t>ɹ.æ.n</t>
  </si>
  <si>
    <t>p.æ.t</t>
  </si>
  <si>
    <t>m.æ.t</t>
  </si>
  <si>
    <t>t.æ.n</t>
  </si>
  <si>
    <t>b.æ.ɡ</t>
  </si>
  <si>
    <t>similar</t>
  </si>
  <si>
    <t>k.l.ɑ.k</t>
  </si>
  <si>
    <t>d.ɔ.ɹ</t>
  </si>
  <si>
    <t>f.ɘ.ʃ</t>
  </si>
  <si>
    <t>h.æ.n.d</t>
  </si>
  <si>
    <t>k.aɪ.t</t>
  </si>
  <si>
    <t>b.ʌ.s</t>
  </si>
  <si>
    <t>s.p.u.n</t>
  </si>
  <si>
    <t>t.ɹ.i</t>
  </si>
  <si>
    <t>b.ɝ.d</t>
  </si>
  <si>
    <t>dissimilar</t>
  </si>
  <si>
    <t>p.eɪ.n</t>
  </si>
  <si>
    <t>w.ɛ.t</t>
  </si>
  <si>
    <t>alternate</t>
  </si>
  <si>
    <t>Word</t>
  </si>
  <si>
    <t>FREQcount</t>
  </si>
  <si>
    <t>Cdcount</t>
  </si>
  <si>
    <t>FREQlow</t>
  </si>
  <si>
    <t>Cdlow</t>
  </si>
  <si>
    <t>SUBTLwf</t>
  </si>
  <si>
    <t>Lg10WF</t>
  </si>
  <si>
    <t>SUBTLcd</t>
  </si>
  <si>
    <t>Lg10CD</t>
  </si>
  <si>
    <t>Length</t>
  </si>
  <si>
    <t>Cond</t>
  </si>
  <si>
    <t>Similar</t>
  </si>
  <si>
    <t>Dissimilar</t>
  </si>
  <si>
    <t>Alternate</t>
  </si>
  <si>
    <t>Word Frequency</t>
  </si>
  <si>
    <t>WF_Dissimilar</t>
  </si>
  <si>
    <t>WF_Similar</t>
  </si>
  <si>
    <t>Word frequencies (WF) are calculated for each condition type as is Context Diversity (CD). According to Brysbaert et al., CD is a better predictor of many memory-related phenomena than is WF</t>
  </si>
  <si>
    <t>CD_Dissimilar</t>
  </si>
  <si>
    <t>CD_Similar</t>
  </si>
  <si>
    <t>The file is set up so that the list can be sorted without interferin in condition-level mean/sd calculations</t>
  </si>
  <si>
    <t>ForPCT_alt2</t>
  </si>
  <si>
    <t>WF_Alternate_set2</t>
  </si>
  <si>
    <t>CD_Alternate_set2</t>
  </si>
  <si>
    <t>beg</t>
  </si>
  <si>
    <t>but</t>
  </si>
  <si>
    <t>noun</t>
  </si>
  <si>
    <t>knit</t>
  </si>
  <si>
    <t>pot</t>
  </si>
  <si>
    <t>roam</t>
  </si>
  <si>
    <t>tune</t>
  </si>
  <si>
    <t>talk</t>
  </si>
  <si>
    <t>b.ɛ.ɡ</t>
  </si>
  <si>
    <t>b.ʌ.t</t>
  </si>
  <si>
    <t>n.aʊ.n</t>
  </si>
  <si>
    <t>n.ɪ.t</t>
  </si>
  <si>
    <t>p.ɒ.t</t>
  </si>
  <si>
    <t>ɹ.oʊ.m</t>
  </si>
  <si>
    <t>t.ɔ.k</t>
  </si>
  <si>
    <t>http://subtlexus.lexique.org/moteur2/index.php</t>
  </si>
  <si>
    <t>[CITATION: Brysbaert, M. &amp; New, B. (2009) Moving beyond Kucera and Francis: A Critical Evaluation of Current Word Frequency Norms and the Introduction of a New and Improved Word Frequency Measure for American English. Behavior Research Methods, 41 (4), 977-990. ]</t>
  </si>
  <si>
    <t>word frequency information pulled from the database:</t>
  </si>
  <si>
    <t>t.u.n</t>
  </si>
  <si>
    <t>watch</t>
  </si>
  <si>
    <t>w.ɔ.t͡ʃ</t>
  </si>
  <si>
    <t>a list of transcriptions used to create the corpora from which Phonological Corpus Toolbox (ipa2hayes) calculated Phonological Edit Distance acquired from en.wiktionary.org</t>
  </si>
  <si>
    <t>Veridical_PED</t>
  </si>
  <si>
    <t>Spurious_PED</t>
  </si>
  <si>
    <t>the Phonological Edit Distance of each word in the similar condition with every other word in that condition. The average PED for veridical words is 7.1 (sd=2.9)</t>
  </si>
  <si>
    <t>the Phonological Edit Distance of each word in the dissimilar condition with every other word in that condition. The average PED for dissimilar words is 17.6 (sd=4.2)</t>
  </si>
  <si>
    <t>the phonological Edit Distance of each alternative pronounciation taught in leiu of the similar words. The average PED for spurious pronounciations is 12.7 (sd=3.6)</t>
  </si>
  <si>
    <t>For tree</t>
  </si>
  <si>
    <t>for tap</t>
  </si>
  <si>
    <t>For Wet</t>
  </si>
  <si>
    <t>HML_N_Nbors</t>
  </si>
  <si>
    <t>LND_Alternate</t>
  </si>
  <si>
    <t>LND_Dissimilar</t>
  </si>
  <si>
    <t>LND_Similar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</si>
</sst>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26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1"/>
      <name val="Arial"/>
      <family val="2"/>
    </font>
    <font>
      <sz val="14"/>
      <color rgb="FF222222"/>
      <name val="Arial"/>
      <family val="2"/>
    </font>
    <font>
      <sz val="19"/>
      <color rgb="FF213646"/>
      <name val="Georgia"/>
      <family val="1"/>
    </font>
    <font>
      <sz val="10"/>
      <color rgb="FF000000"/>
      <name val="Arial"/>
      <family val="2"/>
    </font>
    <font>
      <sz val="15"/>
      <color rgb="FF222222"/>
      <name val="Lucida Grande"/>
      <family val="2"/>
    </font>
    <font>
      <sz val="12"/>
      <color rgb="FF000000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0"/>
      <name val="Courier New"/>
      <family val="3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indexed="52"/>
        <bgColor indexed="51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4" fillId="0" borderId="0" applyNumberFormat="0" applyFill="0" applyBorder="0" applyAlignment="0" applyProtection="0"/>
  </cellStyleXfs>
  <cellXfs count="18">
    <xf numFmtId="0" fontId="0" fillId="0" borderId="0" xfId="0"/>
    <xf numFmtId="0" fontId="18" fillId="0" borderId="0" xfId="0" applyFont="1"/>
    <xf numFmtId="0" fontId="19" fillId="0" borderId="0" xfId="0" applyFont="1"/>
    <xf numFmtId="0" fontId="20" fillId="0" borderId="0" xfId="0" applyFont="1"/>
    <xf numFmtId="0" fontId="0" fillId="33" borderId="0" xfId="0" applyFill="1"/>
    <xf numFmtId="0" fontId="21" fillId="33" borderId="0" xfId="0" applyFont="1" applyFill="1"/>
    <xf numFmtId="0" fontId="0" fillId="34" borderId="0" xfId="0" applyFill="1"/>
    <xf numFmtId="0" fontId="21" fillId="34" borderId="0" xfId="0" applyFont="1" applyFill="1"/>
    <xf numFmtId="0" fontId="0" fillId="35" borderId="0" xfId="0" applyFill="1"/>
    <xf numFmtId="0" fontId="21" fillId="35" borderId="0" xfId="0" applyFont="1" applyFill="1"/>
    <xf numFmtId="0" fontId="16" fillId="0" borderId="0" xfId="0" applyFont="1"/>
    <xf numFmtId="0" fontId="16" fillId="0" borderId="0" xfId="0" applyFont="1" applyAlignment="1">
      <alignment horizontal="right"/>
    </xf>
    <xf numFmtId="0" fontId="22" fillId="0" borderId="0" xfId="0" applyFont="1"/>
    <xf numFmtId="0" fontId="23" fillId="0" borderId="0" xfId="0" applyFont="1"/>
    <xf numFmtId="0" fontId="24" fillId="0" borderId="0" xfId="42"/>
    <xf numFmtId="2" fontId="0" fillId="0" borderId="0" xfId="0" applyNumberFormat="1"/>
    <xf numFmtId="164" fontId="0" fillId="0" borderId="0" xfId="0" applyNumberFormat="1"/>
    <xf numFmtId="0" fontId="25" fillId="36" borderId="10" xfId="0" applyFont="1" applyFill="1" applyBorder="1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://subtlexus.lexique.org/moteur2/index.php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3:C11"/>
  <sheetViews>
    <sheetView workbookViewId="0">
      <selection activeCell="B8" sqref="B8"/>
    </sheetView>
  </sheetViews>
  <sheetFormatPr defaultColWidth="11" defaultRowHeight="15.75"/>
  <cols>
    <col min="1" max="1" width="19.125" customWidth="1"/>
  </cols>
  <sheetData>
    <row r="3" spans="1:3">
      <c r="A3" t="s">
        <v>9</v>
      </c>
      <c r="B3" t="s">
        <v>108</v>
      </c>
    </row>
    <row r="4" spans="1:3">
      <c r="A4" t="s">
        <v>37</v>
      </c>
      <c r="B4" t="s">
        <v>112</v>
      </c>
    </row>
    <row r="5" spans="1:3">
      <c r="A5" t="s">
        <v>109</v>
      </c>
      <c r="B5" t="s">
        <v>111</v>
      </c>
    </row>
    <row r="6" spans="1:3">
      <c r="A6" t="s">
        <v>110</v>
      </c>
      <c r="B6" t="s">
        <v>113</v>
      </c>
    </row>
    <row r="8" spans="1:3">
      <c r="A8" t="s">
        <v>77</v>
      </c>
      <c r="B8" t="s">
        <v>104</v>
      </c>
      <c r="C8" s="14" t="s">
        <v>102</v>
      </c>
    </row>
    <row r="9" spans="1:3">
      <c r="B9" t="s">
        <v>103</v>
      </c>
      <c r="C9" s="14"/>
    </row>
    <row r="10" spans="1:3">
      <c r="B10" t="s">
        <v>80</v>
      </c>
    </row>
    <row r="11" spans="1:3">
      <c r="B11" t="s">
        <v>83</v>
      </c>
    </row>
  </sheetData>
  <hyperlinks>
    <hyperlink ref="C8" r:id="rId1" xr:uid="{00000000-0004-0000-0000-000000000000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F33"/>
  <sheetViews>
    <sheetView workbookViewId="0">
      <selection activeCell="B24" sqref="B24"/>
    </sheetView>
  </sheetViews>
  <sheetFormatPr defaultColWidth="11" defaultRowHeight="15.75"/>
  <sheetData>
    <row r="1" spans="1:3" ht="18">
      <c r="A1" s="1" t="s">
        <v>38</v>
      </c>
      <c r="B1" s="1" t="s">
        <v>9</v>
      </c>
    </row>
    <row r="2" spans="1:3" ht="18">
      <c r="A2" s="1" t="s">
        <v>26</v>
      </c>
      <c r="B2" s="1" t="s">
        <v>48</v>
      </c>
      <c r="C2" t="s">
        <v>49</v>
      </c>
    </row>
    <row r="3" spans="1:3" ht="18">
      <c r="A3" s="1" t="s">
        <v>25</v>
      </c>
      <c r="B3" s="1" t="s">
        <v>41</v>
      </c>
      <c r="C3" t="s">
        <v>49</v>
      </c>
    </row>
    <row r="4" spans="1:3" ht="18">
      <c r="A4" s="1" t="s">
        <v>24</v>
      </c>
      <c r="B4" s="1" t="s">
        <v>42</v>
      </c>
      <c r="C4" t="s">
        <v>49</v>
      </c>
    </row>
    <row r="5" spans="1:3" ht="18">
      <c r="A5" s="1" t="s">
        <v>23</v>
      </c>
      <c r="B5" s="1" t="s">
        <v>46</v>
      </c>
      <c r="C5" t="s">
        <v>49</v>
      </c>
    </row>
    <row r="6" spans="1:3" ht="18">
      <c r="A6" s="1" t="s">
        <v>22</v>
      </c>
      <c r="B6" s="1" t="s">
        <v>39</v>
      </c>
      <c r="C6" t="s">
        <v>49</v>
      </c>
    </row>
    <row r="7" spans="1:3" ht="18">
      <c r="A7" s="1" t="s">
        <v>21</v>
      </c>
      <c r="B7" s="1" t="s">
        <v>45</v>
      </c>
      <c r="C7" t="s">
        <v>49</v>
      </c>
    </row>
    <row r="8" spans="1:3" ht="18">
      <c r="A8" s="1" t="s">
        <v>20</v>
      </c>
      <c r="B8" s="2" t="s">
        <v>44</v>
      </c>
      <c r="C8" t="s">
        <v>49</v>
      </c>
    </row>
    <row r="9" spans="1:3" ht="18">
      <c r="A9" s="1" t="s">
        <v>19</v>
      </c>
      <c r="B9" s="1" t="s">
        <v>43</v>
      </c>
      <c r="C9" t="s">
        <v>49</v>
      </c>
    </row>
    <row r="10" spans="1:3" ht="18">
      <c r="A10" s="1" t="s">
        <v>17</v>
      </c>
      <c r="B10" s="1" t="s">
        <v>47</v>
      </c>
      <c r="C10" t="s">
        <v>49</v>
      </c>
    </row>
    <row r="11" spans="1:3" ht="18">
      <c r="A11" s="1" t="s">
        <v>16</v>
      </c>
      <c r="B11" s="1" t="s">
        <v>40</v>
      </c>
      <c r="C11" t="s">
        <v>49</v>
      </c>
    </row>
    <row r="13" spans="1:3" ht="24">
      <c r="A13" s="1" t="s">
        <v>36</v>
      </c>
      <c r="B13" s="3" t="s">
        <v>58</v>
      </c>
      <c r="C13" t="s">
        <v>59</v>
      </c>
    </row>
    <row r="14" spans="1:3" ht="18">
      <c r="A14" s="1" t="s">
        <v>35</v>
      </c>
      <c r="B14" s="1" t="s">
        <v>55</v>
      </c>
      <c r="C14" t="s">
        <v>59</v>
      </c>
    </row>
    <row r="15" spans="1:3" ht="18">
      <c r="A15" s="1" t="s">
        <v>34</v>
      </c>
      <c r="B15" s="1" t="s">
        <v>50</v>
      </c>
      <c r="C15" t="s">
        <v>59</v>
      </c>
    </row>
    <row r="16" spans="1:3" ht="18">
      <c r="A16" s="1" t="s">
        <v>33</v>
      </c>
      <c r="B16" s="1" t="s">
        <v>51</v>
      </c>
      <c r="C16" t="s">
        <v>59</v>
      </c>
    </row>
    <row r="17" spans="1:6" ht="18">
      <c r="A17" s="1" t="s">
        <v>32</v>
      </c>
      <c r="B17" s="1" t="s">
        <v>52</v>
      </c>
      <c r="C17" t="s">
        <v>59</v>
      </c>
    </row>
    <row r="18" spans="1:6" ht="18.75">
      <c r="A18" s="1" t="s">
        <v>106</v>
      </c>
      <c r="B18" s="12" t="s">
        <v>107</v>
      </c>
      <c r="C18" t="s">
        <v>59</v>
      </c>
    </row>
    <row r="19" spans="1:6" ht="18">
      <c r="A19" s="1" t="s">
        <v>31</v>
      </c>
      <c r="B19" s="1" t="s">
        <v>53</v>
      </c>
      <c r="C19" t="s">
        <v>59</v>
      </c>
    </row>
    <row r="20" spans="1:6" ht="18">
      <c r="A20" s="1" t="s">
        <v>30</v>
      </c>
      <c r="B20" s="1" t="s">
        <v>54</v>
      </c>
      <c r="C20" t="s">
        <v>59</v>
      </c>
    </row>
    <row r="21" spans="1:6" ht="18.95" customHeight="1">
      <c r="A21" s="1" t="s">
        <v>28</v>
      </c>
      <c r="B21" s="3" t="s">
        <v>56</v>
      </c>
      <c r="C21" t="s">
        <v>59</v>
      </c>
    </row>
    <row r="22" spans="1:6" ht="18">
      <c r="A22" s="1" t="s">
        <v>27</v>
      </c>
      <c r="B22" s="2" t="s">
        <v>57</v>
      </c>
      <c r="C22" t="s">
        <v>59</v>
      </c>
    </row>
    <row r="24" spans="1:6" ht="18.75">
      <c r="A24" s="1" t="s">
        <v>87</v>
      </c>
      <c r="B24" s="12" t="s">
        <v>95</v>
      </c>
      <c r="C24" t="s">
        <v>62</v>
      </c>
      <c r="E24" s="1"/>
      <c r="F24" s="2"/>
    </row>
    <row r="25" spans="1:6" ht="18.75">
      <c r="A25" s="1" t="s">
        <v>88</v>
      </c>
      <c r="B25" s="12" t="s">
        <v>96</v>
      </c>
      <c r="C25" t="s">
        <v>62</v>
      </c>
      <c r="E25" s="1"/>
      <c r="F25" s="1"/>
    </row>
    <row r="26" spans="1:6" ht="18.75">
      <c r="A26" s="1" t="s">
        <v>89</v>
      </c>
      <c r="B26" s="12" t="s">
        <v>97</v>
      </c>
      <c r="C26" t="s">
        <v>62</v>
      </c>
      <c r="E26" s="1"/>
      <c r="F26" s="12"/>
    </row>
    <row r="27" spans="1:6" ht="18">
      <c r="A27" s="1" t="s">
        <v>90</v>
      </c>
      <c r="B27" s="2" t="s">
        <v>98</v>
      </c>
      <c r="C27" t="s">
        <v>62</v>
      </c>
      <c r="E27" s="1"/>
      <c r="F27" s="2"/>
    </row>
    <row r="28" spans="1:6" ht="18">
      <c r="A28" s="1" t="s">
        <v>12</v>
      </c>
      <c r="B28" s="1" t="s">
        <v>60</v>
      </c>
      <c r="C28" t="s">
        <v>62</v>
      </c>
      <c r="E28" s="1"/>
      <c r="F28" s="1"/>
    </row>
    <row r="29" spans="1:6" ht="18.75">
      <c r="A29" s="1" t="s">
        <v>91</v>
      </c>
      <c r="B29" s="12" t="s">
        <v>99</v>
      </c>
      <c r="C29" t="s">
        <v>62</v>
      </c>
      <c r="E29" s="1"/>
      <c r="F29" s="1"/>
    </row>
    <row r="30" spans="1:6" ht="18.75">
      <c r="A30" s="1" t="s">
        <v>92</v>
      </c>
      <c r="B30" s="12" t="s">
        <v>100</v>
      </c>
      <c r="C30" t="s">
        <v>62</v>
      </c>
      <c r="E30" s="1"/>
      <c r="F30" s="12"/>
    </row>
    <row r="31" spans="1:6" ht="18">
      <c r="A31" s="1" t="s">
        <v>13</v>
      </c>
      <c r="B31" s="2" t="s">
        <v>61</v>
      </c>
      <c r="C31" t="s">
        <v>62</v>
      </c>
      <c r="E31" s="1"/>
      <c r="F31" s="1"/>
    </row>
    <row r="32" spans="1:6" ht="18">
      <c r="A32" s="1" t="s">
        <v>93</v>
      </c>
      <c r="B32" s="2" t="s">
        <v>105</v>
      </c>
      <c r="C32" t="s">
        <v>62</v>
      </c>
      <c r="E32" s="1"/>
      <c r="F32" s="2"/>
    </row>
    <row r="33" spans="1:6" ht="18.75">
      <c r="A33" s="1" t="s">
        <v>94</v>
      </c>
      <c r="B33" s="12" t="s">
        <v>101</v>
      </c>
      <c r="C33" t="s">
        <v>62</v>
      </c>
      <c r="E33" s="1"/>
      <c r="F33" s="12"/>
    </row>
  </sheetData>
  <sortState xmlns:xlrd2="http://schemas.microsoft.com/office/spreadsheetml/2017/richdata2" ref="E24:G33">
    <sortCondition ref="E24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J49"/>
  <sheetViews>
    <sheetView workbookViewId="0">
      <selection activeCell="L44" sqref="L44"/>
    </sheetView>
  </sheetViews>
  <sheetFormatPr defaultColWidth="11" defaultRowHeight="15.75"/>
  <sheetData>
    <row r="1" spans="1:10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10">
      <c r="A2" t="s">
        <v>29</v>
      </c>
      <c r="B2" t="s">
        <v>36</v>
      </c>
      <c r="C2" t="s">
        <v>35</v>
      </c>
      <c r="D2" t="s">
        <v>8</v>
      </c>
      <c r="E2" t="s">
        <v>9</v>
      </c>
      <c r="F2" t="s">
        <v>10</v>
      </c>
      <c r="G2" t="s">
        <v>11</v>
      </c>
      <c r="H2">
        <v>8.75</v>
      </c>
      <c r="J2">
        <f>AVERAGE(H2:H9,H38)</f>
        <v>15.472222222222221</v>
      </c>
    </row>
    <row r="3" spans="1:10">
      <c r="A3" t="s">
        <v>29</v>
      </c>
      <c r="B3" t="s">
        <v>36</v>
      </c>
      <c r="C3" t="s">
        <v>34</v>
      </c>
      <c r="D3" t="s">
        <v>8</v>
      </c>
      <c r="E3" t="s">
        <v>9</v>
      </c>
      <c r="F3" t="s">
        <v>10</v>
      </c>
      <c r="G3" t="s">
        <v>11</v>
      </c>
      <c r="H3">
        <v>19.5</v>
      </c>
    </row>
    <row r="4" spans="1:10">
      <c r="A4" t="s">
        <v>29</v>
      </c>
      <c r="B4" t="s">
        <v>36</v>
      </c>
      <c r="C4" t="s">
        <v>33</v>
      </c>
      <c r="D4" t="s">
        <v>8</v>
      </c>
      <c r="E4" t="s">
        <v>9</v>
      </c>
      <c r="F4" t="s">
        <v>10</v>
      </c>
      <c r="G4" t="s">
        <v>11</v>
      </c>
      <c r="H4">
        <v>15.75</v>
      </c>
    </row>
    <row r="5" spans="1:10">
      <c r="A5" t="s">
        <v>29</v>
      </c>
      <c r="B5" t="s">
        <v>36</v>
      </c>
      <c r="C5" t="s">
        <v>32</v>
      </c>
      <c r="D5" t="s">
        <v>8</v>
      </c>
      <c r="E5" t="s">
        <v>9</v>
      </c>
      <c r="F5" t="s">
        <v>10</v>
      </c>
      <c r="G5" t="s">
        <v>11</v>
      </c>
      <c r="H5">
        <v>14.75</v>
      </c>
    </row>
    <row r="6" spans="1:10">
      <c r="A6" t="s">
        <v>29</v>
      </c>
      <c r="B6" t="s">
        <v>36</v>
      </c>
      <c r="C6" t="s">
        <v>31</v>
      </c>
      <c r="D6" t="s">
        <v>8</v>
      </c>
      <c r="E6" t="s">
        <v>9</v>
      </c>
      <c r="F6" t="s">
        <v>10</v>
      </c>
      <c r="G6" t="s">
        <v>11</v>
      </c>
      <c r="H6">
        <v>17.75</v>
      </c>
    </row>
    <row r="7" spans="1:10">
      <c r="A7" t="s">
        <v>29</v>
      </c>
      <c r="B7" t="s">
        <v>36</v>
      </c>
      <c r="C7" t="s">
        <v>30</v>
      </c>
      <c r="D7" t="s">
        <v>8</v>
      </c>
      <c r="E7" t="s">
        <v>9</v>
      </c>
      <c r="F7" t="s">
        <v>10</v>
      </c>
      <c r="G7" t="s">
        <v>11</v>
      </c>
      <c r="H7">
        <v>11.75</v>
      </c>
    </row>
    <row r="8" spans="1:10">
      <c r="A8" t="s">
        <v>29</v>
      </c>
      <c r="B8" t="s">
        <v>36</v>
      </c>
      <c r="C8" t="s">
        <v>28</v>
      </c>
      <c r="D8" t="s">
        <v>8</v>
      </c>
      <c r="E8" t="s">
        <v>9</v>
      </c>
      <c r="F8" t="s">
        <v>10</v>
      </c>
      <c r="G8" t="s">
        <v>11</v>
      </c>
      <c r="H8">
        <v>16</v>
      </c>
    </row>
    <row r="9" spans="1:10">
      <c r="A9" t="s">
        <v>29</v>
      </c>
      <c r="B9" t="s">
        <v>36</v>
      </c>
      <c r="C9" t="s">
        <v>27</v>
      </c>
      <c r="D9" t="s">
        <v>8</v>
      </c>
      <c r="E9" t="s">
        <v>9</v>
      </c>
      <c r="F9" t="s">
        <v>10</v>
      </c>
      <c r="G9" t="s">
        <v>11</v>
      </c>
      <c r="H9">
        <v>15.75</v>
      </c>
    </row>
    <row r="10" spans="1:10">
      <c r="A10" t="s">
        <v>29</v>
      </c>
      <c r="B10" t="s">
        <v>35</v>
      </c>
      <c r="C10" t="s">
        <v>34</v>
      </c>
      <c r="D10" t="s">
        <v>8</v>
      </c>
      <c r="E10" t="s">
        <v>9</v>
      </c>
      <c r="F10" t="s">
        <v>10</v>
      </c>
      <c r="G10" t="s">
        <v>11</v>
      </c>
      <c r="H10">
        <v>15.75</v>
      </c>
      <c r="J10">
        <f>AVERAGE(H10:H16,H2,H39)</f>
        <v>13.527777777777779</v>
      </c>
    </row>
    <row r="11" spans="1:10">
      <c r="A11" t="s">
        <v>29</v>
      </c>
      <c r="B11" t="s">
        <v>35</v>
      </c>
      <c r="C11" t="s">
        <v>33</v>
      </c>
      <c r="D11" t="s">
        <v>8</v>
      </c>
      <c r="E11" t="s">
        <v>9</v>
      </c>
      <c r="F11" t="s">
        <v>10</v>
      </c>
      <c r="G11" t="s">
        <v>11</v>
      </c>
      <c r="H11">
        <v>12</v>
      </c>
    </row>
    <row r="12" spans="1:10">
      <c r="A12" t="s">
        <v>29</v>
      </c>
      <c r="B12" t="s">
        <v>35</v>
      </c>
      <c r="C12" t="s">
        <v>32</v>
      </c>
      <c r="D12" t="s">
        <v>8</v>
      </c>
      <c r="E12" t="s">
        <v>9</v>
      </c>
      <c r="F12" t="s">
        <v>10</v>
      </c>
      <c r="G12" t="s">
        <v>11</v>
      </c>
      <c r="H12">
        <v>8</v>
      </c>
    </row>
    <row r="13" spans="1:10">
      <c r="A13" t="s">
        <v>29</v>
      </c>
      <c r="B13" t="s">
        <v>35</v>
      </c>
      <c r="C13" t="s">
        <v>31</v>
      </c>
      <c r="D13" t="s">
        <v>8</v>
      </c>
      <c r="E13" t="s">
        <v>9</v>
      </c>
      <c r="F13" t="s">
        <v>10</v>
      </c>
      <c r="G13" t="s">
        <v>11</v>
      </c>
      <c r="H13">
        <v>19</v>
      </c>
    </row>
    <row r="14" spans="1:10">
      <c r="A14" t="s">
        <v>29</v>
      </c>
      <c r="B14" t="s">
        <v>35</v>
      </c>
      <c r="C14" t="s">
        <v>30</v>
      </c>
      <c r="D14" t="s">
        <v>8</v>
      </c>
      <c r="E14" t="s">
        <v>9</v>
      </c>
      <c r="F14" t="s">
        <v>10</v>
      </c>
      <c r="G14" t="s">
        <v>11</v>
      </c>
      <c r="H14">
        <v>11</v>
      </c>
    </row>
    <row r="15" spans="1:10">
      <c r="A15" t="s">
        <v>29</v>
      </c>
      <c r="B15" t="s">
        <v>35</v>
      </c>
      <c r="C15" t="s">
        <v>28</v>
      </c>
      <c r="D15" t="s">
        <v>8</v>
      </c>
      <c r="E15" t="s">
        <v>9</v>
      </c>
      <c r="F15" t="s">
        <v>10</v>
      </c>
      <c r="G15" t="s">
        <v>11</v>
      </c>
      <c r="H15">
        <v>16.25</v>
      </c>
    </row>
    <row r="16" spans="1:10">
      <c r="A16" t="s">
        <v>29</v>
      </c>
      <c r="B16" t="s">
        <v>35</v>
      </c>
      <c r="C16" t="s">
        <v>27</v>
      </c>
      <c r="D16" t="s">
        <v>8</v>
      </c>
      <c r="E16" t="s">
        <v>9</v>
      </c>
      <c r="F16" t="s">
        <v>10</v>
      </c>
      <c r="G16" t="s">
        <v>11</v>
      </c>
      <c r="H16">
        <v>18.5</v>
      </c>
    </row>
    <row r="17" spans="1:10">
      <c r="A17" t="s">
        <v>29</v>
      </c>
      <c r="B17" t="s">
        <v>34</v>
      </c>
      <c r="C17" t="s">
        <v>33</v>
      </c>
      <c r="D17" t="s">
        <v>8</v>
      </c>
      <c r="E17" t="s">
        <v>9</v>
      </c>
      <c r="F17" t="s">
        <v>10</v>
      </c>
      <c r="G17" t="s">
        <v>11</v>
      </c>
      <c r="H17">
        <v>21.75</v>
      </c>
      <c r="J17">
        <f>AVERAGE(H17:H22,H3,H10,H40)</f>
        <v>19.305555555555557</v>
      </c>
    </row>
    <row r="18" spans="1:10">
      <c r="A18" t="s">
        <v>29</v>
      </c>
      <c r="B18" t="s">
        <v>34</v>
      </c>
      <c r="C18" t="s">
        <v>32</v>
      </c>
      <c r="D18" t="s">
        <v>8</v>
      </c>
      <c r="E18" t="s">
        <v>9</v>
      </c>
      <c r="F18" t="s">
        <v>10</v>
      </c>
      <c r="G18" t="s">
        <v>11</v>
      </c>
      <c r="H18">
        <v>18.75</v>
      </c>
    </row>
    <row r="19" spans="1:10">
      <c r="A19" t="s">
        <v>29</v>
      </c>
      <c r="B19" t="s">
        <v>34</v>
      </c>
      <c r="C19" t="s">
        <v>31</v>
      </c>
      <c r="D19" t="s">
        <v>8</v>
      </c>
      <c r="E19" t="s">
        <v>9</v>
      </c>
      <c r="F19" t="s">
        <v>10</v>
      </c>
      <c r="G19" t="s">
        <v>11</v>
      </c>
      <c r="H19">
        <v>23.25</v>
      </c>
    </row>
    <row r="20" spans="1:10">
      <c r="A20" t="s">
        <v>29</v>
      </c>
      <c r="B20" t="s">
        <v>34</v>
      </c>
      <c r="C20" t="s">
        <v>30</v>
      </c>
      <c r="D20" t="s">
        <v>8</v>
      </c>
      <c r="E20" t="s">
        <v>9</v>
      </c>
      <c r="F20" t="s">
        <v>10</v>
      </c>
      <c r="G20" t="s">
        <v>11</v>
      </c>
      <c r="H20">
        <v>12.25</v>
      </c>
    </row>
    <row r="21" spans="1:10">
      <c r="A21" t="s">
        <v>29</v>
      </c>
      <c r="B21" t="s">
        <v>34</v>
      </c>
      <c r="C21" t="s">
        <v>28</v>
      </c>
      <c r="D21" t="s">
        <v>8</v>
      </c>
      <c r="E21" t="s">
        <v>9</v>
      </c>
      <c r="F21" t="s">
        <v>10</v>
      </c>
      <c r="G21" t="s">
        <v>11</v>
      </c>
      <c r="H21">
        <v>24</v>
      </c>
    </row>
    <row r="22" spans="1:10">
      <c r="A22" t="s">
        <v>29</v>
      </c>
      <c r="B22" t="s">
        <v>34</v>
      </c>
      <c r="C22" t="s">
        <v>27</v>
      </c>
      <c r="D22" t="s">
        <v>8</v>
      </c>
      <c r="E22" t="s">
        <v>9</v>
      </c>
      <c r="F22" t="s">
        <v>10</v>
      </c>
      <c r="G22" t="s">
        <v>11</v>
      </c>
      <c r="H22">
        <v>17.25</v>
      </c>
    </row>
    <row r="23" spans="1:10">
      <c r="A23" t="s">
        <v>29</v>
      </c>
      <c r="B23" t="s">
        <v>33</v>
      </c>
      <c r="C23" t="s">
        <v>32</v>
      </c>
      <c r="D23" t="s">
        <v>8</v>
      </c>
      <c r="E23" t="s">
        <v>9</v>
      </c>
      <c r="F23" t="s">
        <v>10</v>
      </c>
      <c r="G23" t="s">
        <v>11</v>
      </c>
      <c r="H23">
        <v>16</v>
      </c>
      <c r="J23">
        <f>AVERAGE(H23:H27,H4,H11,H17,H41)</f>
        <v>17.194444444444443</v>
      </c>
    </row>
    <row r="24" spans="1:10">
      <c r="A24" t="s">
        <v>29</v>
      </c>
      <c r="B24" t="s">
        <v>33</v>
      </c>
      <c r="C24" t="s">
        <v>31</v>
      </c>
      <c r="D24" t="s">
        <v>8</v>
      </c>
      <c r="E24" t="s">
        <v>9</v>
      </c>
      <c r="F24" t="s">
        <v>10</v>
      </c>
      <c r="G24" t="s">
        <v>11</v>
      </c>
      <c r="H24">
        <v>24</v>
      </c>
    </row>
    <row r="25" spans="1:10">
      <c r="A25" t="s">
        <v>29</v>
      </c>
      <c r="B25" t="s">
        <v>33</v>
      </c>
      <c r="C25" t="s">
        <v>30</v>
      </c>
      <c r="D25" t="s">
        <v>8</v>
      </c>
      <c r="E25" t="s">
        <v>9</v>
      </c>
      <c r="F25" t="s">
        <v>10</v>
      </c>
      <c r="G25" t="s">
        <v>11</v>
      </c>
      <c r="H25">
        <v>18</v>
      </c>
    </row>
    <row r="26" spans="1:10">
      <c r="A26" t="s">
        <v>29</v>
      </c>
      <c r="B26" t="s">
        <v>33</v>
      </c>
      <c r="C26" t="s">
        <v>28</v>
      </c>
      <c r="D26" t="s">
        <v>8</v>
      </c>
      <c r="E26" t="s">
        <v>9</v>
      </c>
      <c r="F26" t="s">
        <v>10</v>
      </c>
      <c r="G26" t="s">
        <v>11</v>
      </c>
      <c r="H26">
        <v>17.25</v>
      </c>
    </row>
    <row r="27" spans="1:10">
      <c r="A27" t="s">
        <v>29</v>
      </c>
      <c r="B27" t="s">
        <v>33</v>
      </c>
      <c r="C27" t="s">
        <v>27</v>
      </c>
      <c r="D27" t="s">
        <v>8</v>
      </c>
      <c r="E27" t="s">
        <v>9</v>
      </c>
      <c r="F27" t="s">
        <v>10</v>
      </c>
      <c r="G27" t="s">
        <v>11</v>
      </c>
      <c r="H27">
        <v>13.5</v>
      </c>
    </row>
    <row r="28" spans="1:10">
      <c r="A28" t="s">
        <v>29</v>
      </c>
      <c r="B28" t="s">
        <v>32</v>
      </c>
      <c r="C28" t="s">
        <v>31</v>
      </c>
      <c r="D28" t="s">
        <v>8</v>
      </c>
      <c r="E28" t="s">
        <v>9</v>
      </c>
      <c r="F28" t="s">
        <v>10</v>
      </c>
      <c r="G28" t="s">
        <v>11</v>
      </c>
      <c r="H28">
        <v>18</v>
      </c>
      <c r="J28">
        <f>AVERAGE(H28:H31,H5,H12,H18,H23,H42)</f>
        <v>15.861111111111111</v>
      </c>
    </row>
    <row r="29" spans="1:10">
      <c r="A29" t="s">
        <v>29</v>
      </c>
      <c r="B29" t="s">
        <v>32</v>
      </c>
      <c r="C29" t="s">
        <v>30</v>
      </c>
      <c r="D29" t="s">
        <v>8</v>
      </c>
      <c r="E29" t="s">
        <v>9</v>
      </c>
      <c r="F29" t="s">
        <v>10</v>
      </c>
      <c r="G29" t="s">
        <v>11</v>
      </c>
      <c r="H29">
        <v>14</v>
      </c>
    </row>
    <row r="30" spans="1:10">
      <c r="A30" t="s">
        <v>29</v>
      </c>
      <c r="B30" t="s">
        <v>32</v>
      </c>
      <c r="C30" t="s">
        <v>28</v>
      </c>
      <c r="D30" t="s">
        <v>8</v>
      </c>
      <c r="E30" t="s">
        <v>9</v>
      </c>
      <c r="F30" t="s">
        <v>10</v>
      </c>
      <c r="G30" t="s">
        <v>11</v>
      </c>
      <c r="H30">
        <v>20.25</v>
      </c>
    </row>
    <row r="31" spans="1:10">
      <c r="A31" t="s">
        <v>29</v>
      </c>
      <c r="B31" t="s">
        <v>32</v>
      </c>
      <c r="C31" t="s">
        <v>27</v>
      </c>
      <c r="D31" t="s">
        <v>8</v>
      </c>
      <c r="E31" t="s">
        <v>9</v>
      </c>
      <c r="F31" t="s">
        <v>10</v>
      </c>
      <c r="G31" t="s">
        <v>11</v>
      </c>
      <c r="H31">
        <v>19.5</v>
      </c>
    </row>
    <row r="32" spans="1:10">
      <c r="A32" t="s">
        <v>29</v>
      </c>
      <c r="B32" t="s">
        <v>31</v>
      </c>
      <c r="C32" t="s">
        <v>30</v>
      </c>
      <c r="D32" t="s">
        <v>8</v>
      </c>
      <c r="E32" t="s">
        <v>9</v>
      </c>
      <c r="F32" t="s">
        <v>10</v>
      </c>
      <c r="G32" t="s">
        <v>11</v>
      </c>
      <c r="H32">
        <v>15.5</v>
      </c>
      <c r="J32">
        <f>AVERAGE(H32:H34,H6,H13,H19,H24,H28,H43)</f>
        <v>20.972222222222221</v>
      </c>
    </row>
    <row r="33" spans="1:10">
      <c r="A33" t="s">
        <v>29</v>
      </c>
      <c r="B33" t="s">
        <v>31</v>
      </c>
      <c r="C33" t="s">
        <v>28</v>
      </c>
      <c r="D33" t="s">
        <v>8</v>
      </c>
      <c r="E33" t="s">
        <v>9</v>
      </c>
      <c r="F33" t="s">
        <v>10</v>
      </c>
      <c r="G33" t="s">
        <v>11</v>
      </c>
      <c r="H33">
        <v>21.25</v>
      </c>
    </row>
    <row r="34" spans="1:10">
      <c r="A34" t="s">
        <v>29</v>
      </c>
      <c r="B34" t="s">
        <v>31</v>
      </c>
      <c r="C34" t="s">
        <v>27</v>
      </c>
      <c r="D34" t="s">
        <v>8</v>
      </c>
      <c r="E34" t="s">
        <v>9</v>
      </c>
      <c r="F34" t="s">
        <v>10</v>
      </c>
      <c r="G34" t="s">
        <v>11</v>
      </c>
      <c r="H34">
        <v>25.5</v>
      </c>
    </row>
    <row r="35" spans="1:10">
      <c r="A35" t="s">
        <v>29</v>
      </c>
      <c r="B35" t="s">
        <v>30</v>
      </c>
      <c r="C35" t="s">
        <v>28</v>
      </c>
      <c r="D35" t="s">
        <v>8</v>
      </c>
      <c r="E35" t="s">
        <v>9</v>
      </c>
      <c r="F35" t="s">
        <v>10</v>
      </c>
      <c r="G35" t="s">
        <v>11</v>
      </c>
      <c r="H35">
        <v>19.25</v>
      </c>
      <c r="J35">
        <f>AVERAGE(H35:H36,H7,H14,H20,H25,H29,H32,H44)</f>
        <v>15.583333333333334</v>
      </c>
    </row>
    <row r="36" spans="1:10">
      <c r="A36" t="s">
        <v>29</v>
      </c>
      <c r="B36" t="s">
        <v>30</v>
      </c>
      <c r="C36" t="s">
        <v>27</v>
      </c>
      <c r="D36" t="s">
        <v>8</v>
      </c>
      <c r="E36" t="s">
        <v>9</v>
      </c>
      <c r="F36" t="s">
        <v>10</v>
      </c>
      <c r="G36" t="s">
        <v>11</v>
      </c>
      <c r="H36">
        <v>20</v>
      </c>
    </row>
    <row r="37" spans="1:10">
      <c r="A37" t="s">
        <v>29</v>
      </c>
      <c r="B37" t="s">
        <v>28</v>
      </c>
      <c r="C37" t="s">
        <v>27</v>
      </c>
      <c r="D37" t="s">
        <v>8</v>
      </c>
      <c r="E37" t="s">
        <v>9</v>
      </c>
      <c r="F37" t="s">
        <v>10</v>
      </c>
      <c r="G37" t="s">
        <v>11</v>
      </c>
      <c r="H37">
        <v>20.75</v>
      </c>
      <c r="J37">
        <f>AVERAGE(H37,H8,H15,H21,H26,H30,H33,H35,H45)</f>
        <v>19.75</v>
      </c>
    </row>
    <row r="38" spans="1:10">
      <c r="A38" t="s">
        <v>29</v>
      </c>
      <c r="B38" t="s">
        <v>106</v>
      </c>
      <c r="C38" t="s">
        <v>36</v>
      </c>
      <c r="D38" t="s">
        <v>8</v>
      </c>
      <c r="E38" t="s">
        <v>9</v>
      </c>
      <c r="F38" t="s">
        <v>10</v>
      </c>
      <c r="G38" t="s">
        <v>11</v>
      </c>
      <c r="H38">
        <v>19.25</v>
      </c>
      <c r="J38">
        <f>AVERAGE(H38:H46)</f>
        <v>19.194444444444443</v>
      </c>
    </row>
    <row r="39" spans="1:10">
      <c r="A39" t="s">
        <v>29</v>
      </c>
      <c r="B39" t="s">
        <v>106</v>
      </c>
      <c r="C39" t="s">
        <v>35</v>
      </c>
      <c r="D39" t="s">
        <v>8</v>
      </c>
      <c r="E39" t="s">
        <v>9</v>
      </c>
      <c r="F39" t="s">
        <v>10</v>
      </c>
      <c r="G39" t="s">
        <v>11</v>
      </c>
      <c r="H39">
        <v>12.5</v>
      </c>
    </row>
    <row r="40" spans="1:10">
      <c r="A40" t="s">
        <v>29</v>
      </c>
      <c r="B40" t="s">
        <v>106</v>
      </c>
      <c r="C40" t="s">
        <v>34</v>
      </c>
      <c r="D40" t="s">
        <v>8</v>
      </c>
      <c r="E40" t="s">
        <v>9</v>
      </c>
      <c r="F40" t="s">
        <v>10</v>
      </c>
      <c r="G40" t="s">
        <v>11</v>
      </c>
      <c r="H40">
        <v>21.25</v>
      </c>
    </row>
    <row r="41" spans="1:10">
      <c r="A41" t="s">
        <v>29</v>
      </c>
      <c r="B41" s="13" t="s">
        <v>106</v>
      </c>
      <c r="C41" s="13" t="s">
        <v>33</v>
      </c>
      <c r="D41" s="13" t="s">
        <v>8</v>
      </c>
      <c r="E41" s="13" t="s">
        <v>9</v>
      </c>
      <c r="F41" s="13" t="s">
        <v>10</v>
      </c>
      <c r="G41" s="13" t="s">
        <v>11</v>
      </c>
      <c r="H41" s="13">
        <v>16.5</v>
      </c>
    </row>
    <row r="42" spans="1:10">
      <c r="A42" t="s">
        <v>29</v>
      </c>
      <c r="B42" t="s">
        <v>106</v>
      </c>
      <c r="C42" t="s">
        <v>32</v>
      </c>
      <c r="D42" t="s">
        <v>8</v>
      </c>
      <c r="E42" t="s">
        <v>9</v>
      </c>
      <c r="F42" t="s">
        <v>10</v>
      </c>
      <c r="G42" t="s">
        <v>11</v>
      </c>
      <c r="H42">
        <v>13.5</v>
      </c>
    </row>
    <row r="43" spans="1:10">
      <c r="A43" t="s">
        <v>29</v>
      </c>
      <c r="B43" t="s">
        <v>106</v>
      </c>
      <c r="C43" t="s">
        <v>31</v>
      </c>
      <c r="D43" t="s">
        <v>8</v>
      </c>
      <c r="E43" t="s">
        <v>9</v>
      </c>
      <c r="F43" t="s">
        <v>10</v>
      </c>
      <c r="G43" t="s">
        <v>11</v>
      </c>
      <c r="H43">
        <v>24.5</v>
      </c>
    </row>
    <row r="44" spans="1:10">
      <c r="A44" t="s">
        <v>29</v>
      </c>
      <c r="B44" t="s">
        <v>106</v>
      </c>
      <c r="C44" t="s">
        <v>30</v>
      </c>
      <c r="D44" t="s">
        <v>8</v>
      </c>
      <c r="E44" t="s">
        <v>9</v>
      </c>
      <c r="F44" t="s">
        <v>10</v>
      </c>
      <c r="G44" t="s">
        <v>11</v>
      </c>
      <c r="H44">
        <v>18.5</v>
      </c>
    </row>
    <row r="45" spans="1:10">
      <c r="A45" t="s">
        <v>29</v>
      </c>
      <c r="B45" t="s">
        <v>106</v>
      </c>
      <c r="C45" t="s">
        <v>28</v>
      </c>
      <c r="D45" t="s">
        <v>8</v>
      </c>
      <c r="E45" t="s">
        <v>9</v>
      </c>
      <c r="F45" t="s">
        <v>10</v>
      </c>
      <c r="G45" t="s">
        <v>11</v>
      </c>
      <c r="H45">
        <v>22.75</v>
      </c>
    </row>
    <row r="46" spans="1:10">
      <c r="A46" t="s">
        <v>29</v>
      </c>
      <c r="B46" t="s">
        <v>106</v>
      </c>
      <c r="C46" t="s">
        <v>27</v>
      </c>
      <c r="D46" t="s">
        <v>8</v>
      </c>
      <c r="E46" t="s">
        <v>9</v>
      </c>
      <c r="F46" t="s">
        <v>10</v>
      </c>
      <c r="G46" t="s">
        <v>11</v>
      </c>
      <c r="H46">
        <v>24</v>
      </c>
    </row>
    <row r="47" spans="1:10">
      <c r="I47" t="s">
        <v>114</v>
      </c>
      <c r="J47">
        <f>AVERAGE(H9,H16,H22,H27,H31,H34,H36,H37,H46)</f>
        <v>19.416666666666668</v>
      </c>
    </row>
    <row r="48" spans="1:10">
      <c r="G48" t="s">
        <v>14</v>
      </c>
      <c r="H48">
        <f>AVERAGE(H2:H46)</f>
        <v>17.627777777777776</v>
      </c>
    </row>
    <row r="49" spans="7:8">
      <c r="G49" t="s">
        <v>15</v>
      </c>
      <c r="H49">
        <f>_xlfn.STDEV.P(H2:H46)</f>
        <v>4.1841706407145116</v>
      </c>
    </row>
  </sheetData>
  <sortState xmlns:xlrd2="http://schemas.microsoft.com/office/spreadsheetml/2017/richdata2" ref="A2:J46">
    <sortCondition ref="B2:B46"/>
    <sortCondition ref="C2:C46"/>
  </sortState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J49"/>
  <sheetViews>
    <sheetView topLeftCell="A19" workbookViewId="0">
      <selection activeCell="H49" sqref="H49"/>
    </sheetView>
  </sheetViews>
  <sheetFormatPr defaultColWidth="11" defaultRowHeight="15.75"/>
  <cols>
    <col min="4" max="4" width="24" customWidth="1"/>
    <col min="5" max="5" width="14.5" customWidth="1"/>
    <col min="6" max="6" width="13.5" customWidth="1"/>
    <col min="7" max="7" width="20.375" customWidth="1"/>
  </cols>
  <sheetData>
    <row r="1" spans="1:10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10">
      <c r="A2" t="s">
        <v>18</v>
      </c>
      <c r="B2" t="s">
        <v>26</v>
      </c>
      <c r="C2" t="s">
        <v>25</v>
      </c>
      <c r="D2" t="s">
        <v>8</v>
      </c>
      <c r="E2" t="s">
        <v>9</v>
      </c>
      <c r="F2" t="s">
        <v>10</v>
      </c>
      <c r="G2" t="s">
        <v>11</v>
      </c>
      <c r="H2">
        <v>4.25</v>
      </c>
      <c r="J2">
        <f>AVERAGE(H2:H10)</f>
        <v>7.833333333333333</v>
      </c>
    </row>
    <row r="3" spans="1:10">
      <c r="A3" t="s">
        <v>18</v>
      </c>
      <c r="B3" t="s">
        <v>26</v>
      </c>
      <c r="C3" t="s">
        <v>24</v>
      </c>
      <c r="D3" t="s">
        <v>8</v>
      </c>
      <c r="E3" t="s">
        <v>9</v>
      </c>
      <c r="F3" t="s">
        <v>10</v>
      </c>
      <c r="G3" t="s">
        <v>11</v>
      </c>
      <c r="H3">
        <v>7.75</v>
      </c>
    </row>
    <row r="4" spans="1:10">
      <c r="A4" t="s">
        <v>18</v>
      </c>
      <c r="B4" t="s">
        <v>26</v>
      </c>
      <c r="C4" t="s">
        <v>23</v>
      </c>
      <c r="D4" t="s">
        <v>8</v>
      </c>
      <c r="E4" t="s">
        <v>9</v>
      </c>
      <c r="F4" t="s">
        <v>10</v>
      </c>
      <c r="G4" t="s">
        <v>11</v>
      </c>
      <c r="H4">
        <v>6.5</v>
      </c>
    </row>
    <row r="5" spans="1:10">
      <c r="A5" t="s">
        <v>18</v>
      </c>
      <c r="B5" t="s">
        <v>26</v>
      </c>
      <c r="C5" t="s">
        <v>22</v>
      </c>
      <c r="D5" t="s">
        <v>8</v>
      </c>
      <c r="E5" t="s">
        <v>9</v>
      </c>
      <c r="F5" t="s">
        <v>10</v>
      </c>
      <c r="G5" t="s">
        <v>11</v>
      </c>
      <c r="H5">
        <v>6.5</v>
      </c>
    </row>
    <row r="6" spans="1:10">
      <c r="A6" t="s">
        <v>18</v>
      </c>
      <c r="B6" t="s">
        <v>26</v>
      </c>
      <c r="C6" t="s">
        <v>21</v>
      </c>
      <c r="D6" t="s">
        <v>8</v>
      </c>
      <c r="E6" t="s">
        <v>9</v>
      </c>
      <c r="F6" t="s">
        <v>10</v>
      </c>
      <c r="G6" t="s">
        <v>11</v>
      </c>
      <c r="H6">
        <v>5.25</v>
      </c>
    </row>
    <row r="7" spans="1:10">
      <c r="A7" t="s">
        <v>18</v>
      </c>
      <c r="B7" t="s">
        <v>26</v>
      </c>
      <c r="C7" t="s">
        <v>20</v>
      </c>
      <c r="D7" t="s">
        <v>8</v>
      </c>
      <c r="E7" t="s">
        <v>9</v>
      </c>
      <c r="F7" t="s">
        <v>10</v>
      </c>
      <c r="G7" t="s">
        <v>11</v>
      </c>
      <c r="H7">
        <v>12.5</v>
      </c>
    </row>
    <row r="8" spans="1:10">
      <c r="A8" t="s">
        <v>18</v>
      </c>
      <c r="B8" t="s">
        <v>26</v>
      </c>
      <c r="C8" t="s">
        <v>19</v>
      </c>
      <c r="D8" t="s">
        <v>8</v>
      </c>
      <c r="E8" t="s">
        <v>9</v>
      </c>
      <c r="F8" t="s">
        <v>10</v>
      </c>
      <c r="G8" t="s">
        <v>11</v>
      </c>
      <c r="H8">
        <v>11.25</v>
      </c>
    </row>
    <row r="9" spans="1:10">
      <c r="A9" t="s">
        <v>18</v>
      </c>
      <c r="B9" t="s">
        <v>26</v>
      </c>
      <c r="C9" t="s">
        <v>17</v>
      </c>
      <c r="D9" t="s">
        <v>8</v>
      </c>
      <c r="E9" t="s">
        <v>9</v>
      </c>
      <c r="F9" t="s">
        <v>10</v>
      </c>
      <c r="G9" t="s">
        <v>11</v>
      </c>
      <c r="H9">
        <v>9.25</v>
      </c>
    </row>
    <row r="10" spans="1:10">
      <c r="A10" t="s">
        <v>18</v>
      </c>
      <c r="B10" t="s">
        <v>26</v>
      </c>
      <c r="C10" t="s">
        <v>16</v>
      </c>
      <c r="D10" t="s">
        <v>8</v>
      </c>
      <c r="E10" t="s">
        <v>9</v>
      </c>
      <c r="F10" t="s">
        <v>10</v>
      </c>
      <c r="G10" t="s">
        <v>11</v>
      </c>
      <c r="H10">
        <v>7.25</v>
      </c>
    </row>
    <row r="11" spans="1:10">
      <c r="A11" t="s">
        <v>18</v>
      </c>
      <c r="B11" t="s">
        <v>25</v>
      </c>
      <c r="C11" t="s">
        <v>24</v>
      </c>
      <c r="D11" t="s">
        <v>8</v>
      </c>
      <c r="E11" t="s">
        <v>9</v>
      </c>
      <c r="F11" t="s">
        <v>10</v>
      </c>
      <c r="G11" t="s">
        <v>11</v>
      </c>
      <c r="H11">
        <v>5.5</v>
      </c>
      <c r="J11">
        <f>AVERAGE(H11:H18,H2)</f>
        <v>5.333333333333333</v>
      </c>
    </row>
    <row r="12" spans="1:10">
      <c r="A12" t="s">
        <v>18</v>
      </c>
      <c r="B12" t="s">
        <v>25</v>
      </c>
      <c r="C12" t="s">
        <v>23</v>
      </c>
      <c r="D12" t="s">
        <v>8</v>
      </c>
      <c r="E12" t="s">
        <v>9</v>
      </c>
      <c r="F12" t="s">
        <v>10</v>
      </c>
      <c r="G12" t="s">
        <v>11</v>
      </c>
      <c r="H12">
        <v>2.25</v>
      </c>
    </row>
    <row r="13" spans="1:10">
      <c r="A13" t="s">
        <v>18</v>
      </c>
      <c r="B13" t="s">
        <v>25</v>
      </c>
      <c r="C13" t="s">
        <v>22</v>
      </c>
      <c r="D13" t="s">
        <v>8</v>
      </c>
      <c r="E13" t="s">
        <v>9</v>
      </c>
      <c r="F13" t="s">
        <v>10</v>
      </c>
      <c r="G13" t="s">
        <v>11</v>
      </c>
      <c r="H13">
        <v>4.25</v>
      </c>
    </row>
    <row r="14" spans="1:10">
      <c r="A14" t="s">
        <v>18</v>
      </c>
      <c r="B14" t="s">
        <v>25</v>
      </c>
      <c r="C14" t="s">
        <v>21</v>
      </c>
      <c r="D14" t="s">
        <v>8</v>
      </c>
      <c r="E14" t="s">
        <v>9</v>
      </c>
      <c r="F14" t="s">
        <v>10</v>
      </c>
      <c r="G14" t="s">
        <v>11</v>
      </c>
      <c r="H14">
        <v>1</v>
      </c>
    </row>
    <row r="15" spans="1:10">
      <c r="A15" t="s">
        <v>18</v>
      </c>
      <c r="B15" t="s">
        <v>25</v>
      </c>
      <c r="C15" t="s">
        <v>20</v>
      </c>
      <c r="D15" t="s">
        <v>8</v>
      </c>
      <c r="E15" t="s">
        <v>9</v>
      </c>
      <c r="F15" t="s">
        <v>10</v>
      </c>
      <c r="G15" t="s">
        <v>11</v>
      </c>
      <c r="H15">
        <v>10.25</v>
      </c>
    </row>
    <row r="16" spans="1:10">
      <c r="A16" t="s">
        <v>18</v>
      </c>
      <c r="B16" t="s">
        <v>25</v>
      </c>
      <c r="C16" t="s">
        <v>19</v>
      </c>
      <c r="D16" t="s">
        <v>8</v>
      </c>
      <c r="E16" t="s">
        <v>9</v>
      </c>
      <c r="F16" t="s">
        <v>10</v>
      </c>
      <c r="G16" t="s">
        <v>11</v>
      </c>
      <c r="H16">
        <v>7</v>
      </c>
    </row>
    <row r="17" spans="1:10">
      <c r="A17" t="s">
        <v>18</v>
      </c>
      <c r="B17" t="s">
        <v>25</v>
      </c>
      <c r="C17" t="s">
        <v>17</v>
      </c>
      <c r="D17" t="s">
        <v>8</v>
      </c>
      <c r="E17" t="s">
        <v>9</v>
      </c>
      <c r="F17" t="s">
        <v>10</v>
      </c>
      <c r="G17" t="s">
        <v>11</v>
      </c>
      <c r="H17">
        <v>7</v>
      </c>
    </row>
    <row r="18" spans="1:10">
      <c r="A18" t="s">
        <v>18</v>
      </c>
      <c r="B18" t="s">
        <v>25</v>
      </c>
      <c r="C18" t="s">
        <v>16</v>
      </c>
      <c r="D18" t="s">
        <v>8</v>
      </c>
      <c r="E18" t="s">
        <v>9</v>
      </c>
      <c r="F18" t="s">
        <v>10</v>
      </c>
      <c r="G18" t="s">
        <v>11</v>
      </c>
      <c r="H18">
        <v>6.5</v>
      </c>
    </row>
    <row r="19" spans="1:10">
      <c r="A19" t="s">
        <v>18</v>
      </c>
      <c r="B19" t="s">
        <v>24</v>
      </c>
      <c r="C19" t="s">
        <v>23</v>
      </c>
      <c r="D19" t="s">
        <v>8</v>
      </c>
      <c r="E19" t="s">
        <v>9</v>
      </c>
      <c r="F19" t="s">
        <v>10</v>
      </c>
      <c r="G19" t="s">
        <v>11</v>
      </c>
      <c r="H19">
        <v>3.25</v>
      </c>
      <c r="J19">
        <f>AVERAGE(H19:H25,H3,H11)</f>
        <v>6.7777777777777777</v>
      </c>
    </row>
    <row r="20" spans="1:10">
      <c r="A20" t="s">
        <v>18</v>
      </c>
      <c r="B20" t="s">
        <v>24</v>
      </c>
      <c r="C20" t="s">
        <v>22</v>
      </c>
      <c r="D20" t="s">
        <v>8</v>
      </c>
      <c r="E20" t="s">
        <v>9</v>
      </c>
      <c r="F20" t="s">
        <v>10</v>
      </c>
      <c r="G20" t="s">
        <v>11</v>
      </c>
      <c r="H20">
        <v>3.25</v>
      </c>
    </row>
    <row r="21" spans="1:10">
      <c r="A21" t="s">
        <v>18</v>
      </c>
      <c r="B21" t="s">
        <v>24</v>
      </c>
      <c r="C21" t="s">
        <v>21</v>
      </c>
      <c r="D21" t="s">
        <v>8</v>
      </c>
      <c r="E21" t="s">
        <v>9</v>
      </c>
      <c r="F21" t="s">
        <v>10</v>
      </c>
      <c r="G21" t="s">
        <v>11</v>
      </c>
      <c r="H21">
        <v>6.5</v>
      </c>
    </row>
    <row r="22" spans="1:10">
      <c r="A22" t="s">
        <v>18</v>
      </c>
      <c r="B22" t="s">
        <v>24</v>
      </c>
      <c r="C22" t="s">
        <v>20</v>
      </c>
      <c r="D22" t="s">
        <v>8</v>
      </c>
      <c r="E22" t="s">
        <v>9</v>
      </c>
      <c r="F22" t="s">
        <v>10</v>
      </c>
      <c r="G22" t="s">
        <v>11</v>
      </c>
      <c r="H22">
        <v>6.75</v>
      </c>
    </row>
    <row r="23" spans="1:10">
      <c r="A23" t="s">
        <v>18</v>
      </c>
      <c r="B23" t="s">
        <v>24</v>
      </c>
      <c r="C23" t="s">
        <v>19</v>
      </c>
      <c r="D23" t="s">
        <v>8</v>
      </c>
      <c r="E23" t="s">
        <v>9</v>
      </c>
      <c r="F23" t="s">
        <v>10</v>
      </c>
      <c r="G23" t="s">
        <v>11</v>
      </c>
      <c r="H23">
        <v>10</v>
      </c>
    </row>
    <row r="24" spans="1:10">
      <c r="A24" t="s">
        <v>18</v>
      </c>
      <c r="B24" t="s">
        <v>24</v>
      </c>
      <c r="C24" t="s">
        <v>17</v>
      </c>
      <c r="D24" t="s">
        <v>8</v>
      </c>
      <c r="E24" t="s">
        <v>9</v>
      </c>
      <c r="F24" t="s">
        <v>10</v>
      </c>
      <c r="G24" t="s">
        <v>11</v>
      </c>
      <c r="H24">
        <v>6</v>
      </c>
    </row>
    <row r="25" spans="1:10">
      <c r="A25" t="s">
        <v>18</v>
      </c>
      <c r="B25" t="s">
        <v>24</v>
      </c>
      <c r="C25" t="s">
        <v>16</v>
      </c>
      <c r="D25" t="s">
        <v>8</v>
      </c>
      <c r="E25" t="s">
        <v>9</v>
      </c>
      <c r="F25" t="s">
        <v>10</v>
      </c>
      <c r="G25" t="s">
        <v>11</v>
      </c>
      <c r="H25">
        <v>12</v>
      </c>
    </row>
    <row r="26" spans="1:10">
      <c r="A26" t="s">
        <v>18</v>
      </c>
      <c r="B26" t="s">
        <v>23</v>
      </c>
      <c r="C26" t="s">
        <v>22</v>
      </c>
      <c r="D26" t="s">
        <v>8</v>
      </c>
      <c r="E26" t="s">
        <v>9</v>
      </c>
      <c r="F26" t="s">
        <v>10</v>
      </c>
      <c r="G26" t="s">
        <v>11</v>
      </c>
      <c r="H26">
        <v>6.5</v>
      </c>
      <c r="J26">
        <f>AVERAGE(H26:H31,H4,H12,H19)</f>
        <v>6.2777777777777777</v>
      </c>
    </row>
    <row r="27" spans="1:10">
      <c r="A27" t="s">
        <v>18</v>
      </c>
      <c r="B27" t="s">
        <v>23</v>
      </c>
      <c r="C27" t="s">
        <v>21</v>
      </c>
      <c r="D27" t="s">
        <v>8</v>
      </c>
      <c r="E27" t="s">
        <v>9</v>
      </c>
      <c r="F27" t="s">
        <v>10</v>
      </c>
      <c r="G27" t="s">
        <v>11</v>
      </c>
      <c r="H27">
        <v>3.25</v>
      </c>
    </row>
    <row r="28" spans="1:10">
      <c r="A28" t="s">
        <v>18</v>
      </c>
      <c r="B28" t="s">
        <v>23</v>
      </c>
      <c r="C28" t="s">
        <v>20</v>
      </c>
      <c r="D28" t="s">
        <v>8</v>
      </c>
      <c r="E28" t="s">
        <v>9</v>
      </c>
      <c r="F28" t="s">
        <v>10</v>
      </c>
      <c r="G28" t="s">
        <v>11</v>
      </c>
      <c r="H28">
        <v>10</v>
      </c>
    </row>
    <row r="29" spans="1:10">
      <c r="A29" t="s">
        <v>18</v>
      </c>
      <c r="B29" t="s">
        <v>23</v>
      </c>
      <c r="C29" t="s">
        <v>19</v>
      </c>
      <c r="D29" t="s">
        <v>8</v>
      </c>
      <c r="E29" t="s">
        <v>9</v>
      </c>
      <c r="F29" t="s">
        <v>10</v>
      </c>
      <c r="G29" t="s">
        <v>11</v>
      </c>
      <c r="H29">
        <v>6.75</v>
      </c>
    </row>
    <row r="30" spans="1:10">
      <c r="A30" t="s">
        <v>18</v>
      </c>
      <c r="B30" t="s">
        <v>23</v>
      </c>
      <c r="C30" t="s">
        <v>17</v>
      </c>
      <c r="D30" t="s">
        <v>8</v>
      </c>
      <c r="E30" t="s">
        <v>9</v>
      </c>
      <c r="F30" t="s">
        <v>10</v>
      </c>
      <c r="G30" t="s">
        <v>11</v>
      </c>
      <c r="H30">
        <v>9.25</v>
      </c>
    </row>
    <row r="31" spans="1:10">
      <c r="A31" t="s">
        <v>18</v>
      </c>
      <c r="B31" t="s">
        <v>23</v>
      </c>
      <c r="C31" t="s">
        <v>16</v>
      </c>
      <c r="D31" t="s">
        <v>8</v>
      </c>
      <c r="E31" t="s">
        <v>9</v>
      </c>
      <c r="F31" t="s">
        <v>10</v>
      </c>
      <c r="G31" t="s">
        <v>11</v>
      </c>
      <c r="H31">
        <v>8.75</v>
      </c>
    </row>
    <row r="32" spans="1:10">
      <c r="A32" t="s">
        <v>18</v>
      </c>
      <c r="B32" t="s">
        <v>22</v>
      </c>
      <c r="C32" t="s">
        <v>21</v>
      </c>
      <c r="D32" t="s">
        <v>8</v>
      </c>
      <c r="E32" t="s">
        <v>9</v>
      </c>
      <c r="F32" t="s">
        <v>10</v>
      </c>
      <c r="G32" t="s">
        <v>11</v>
      </c>
      <c r="H32">
        <v>3.25</v>
      </c>
      <c r="J32">
        <f>AVERAGE(H32:H36,H13,H20,H26,H5)</f>
        <v>6.0555555555555554</v>
      </c>
    </row>
    <row r="33" spans="1:10">
      <c r="A33" t="s">
        <v>18</v>
      </c>
      <c r="B33" t="s">
        <v>22</v>
      </c>
      <c r="C33" t="s">
        <v>20</v>
      </c>
      <c r="D33" t="s">
        <v>8</v>
      </c>
      <c r="E33" t="s">
        <v>9</v>
      </c>
      <c r="F33" t="s">
        <v>10</v>
      </c>
      <c r="G33" t="s">
        <v>11</v>
      </c>
      <c r="H33">
        <v>8</v>
      </c>
    </row>
    <row r="34" spans="1:10">
      <c r="A34" t="s">
        <v>18</v>
      </c>
      <c r="B34" t="s">
        <v>22</v>
      </c>
      <c r="C34" t="s">
        <v>19</v>
      </c>
      <c r="D34" t="s">
        <v>8</v>
      </c>
      <c r="E34" t="s">
        <v>9</v>
      </c>
      <c r="F34" t="s">
        <v>10</v>
      </c>
      <c r="G34" t="s">
        <v>11</v>
      </c>
      <c r="H34">
        <v>11.25</v>
      </c>
    </row>
    <row r="35" spans="1:10">
      <c r="A35" t="s">
        <v>18</v>
      </c>
      <c r="B35" t="s">
        <v>22</v>
      </c>
      <c r="C35" t="s">
        <v>17</v>
      </c>
      <c r="D35" t="s">
        <v>8</v>
      </c>
      <c r="E35" t="s">
        <v>9</v>
      </c>
      <c r="F35" t="s">
        <v>10</v>
      </c>
      <c r="G35" t="s">
        <v>11</v>
      </c>
      <c r="H35">
        <v>2.75</v>
      </c>
    </row>
    <row r="36" spans="1:10">
      <c r="A36" t="s">
        <v>18</v>
      </c>
      <c r="B36" t="s">
        <v>22</v>
      </c>
      <c r="C36" t="s">
        <v>16</v>
      </c>
      <c r="D36" t="s">
        <v>8</v>
      </c>
      <c r="E36" t="s">
        <v>9</v>
      </c>
      <c r="F36" t="s">
        <v>10</v>
      </c>
      <c r="G36" t="s">
        <v>11</v>
      </c>
      <c r="H36">
        <v>8.75</v>
      </c>
    </row>
    <row r="37" spans="1:10">
      <c r="A37" t="s">
        <v>18</v>
      </c>
      <c r="B37" t="s">
        <v>21</v>
      </c>
      <c r="C37" t="s">
        <v>20</v>
      </c>
      <c r="D37" t="s">
        <v>8</v>
      </c>
      <c r="E37" t="s">
        <v>9</v>
      </c>
      <c r="F37" t="s">
        <v>10</v>
      </c>
      <c r="G37" t="s">
        <v>11</v>
      </c>
      <c r="H37">
        <v>11.25</v>
      </c>
      <c r="J37">
        <f>AVERAGE(H37:H40,H6,H14,H21,H27,H32)</f>
        <v>5.5555555555555554</v>
      </c>
    </row>
    <row r="38" spans="1:10">
      <c r="A38" t="s">
        <v>18</v>
      </c>
      <c r="B38" t="s">
        <v>21</v>
      </c>
      <c r="C38" t="s">
        <v>19</v>
      </c>
      <c r="D38" t="s">
        <v>8</v>
      </c>
      <c r="E38" t="s">
        <v>9</v>
      </c>
      <c r="F38" t="s">
        <v>10</v>
      </c>
      <c r="G38" t="s">
        <v>11</v>
      </c>
      <c r="H38">
        <v>8</v>
      </c>
    </row>
    <row r="39" spans="1:10">
      <c r="A39" t="s">
        <v>18</v>
      </c>
      <c r="B39" t="s">
        <v>21</v>
      </c>
      <c r="C39" t="s">
        <v>17</v>
      </c>
      <c r="D39" t="s">
        <v>8</v>
      </c>
      <c r="E39" t="s">
        <v>9</v>
      </c>
      <c r="F39" t="s">
        <v>10</v>
      </c>
      <c r="G39" t="s">
        <v>11</v>
      </c>
      <c r="H39">
        <v>6</v>
      </c>
    </row>
    <row r="40" spans="1:10">
      <c r="A40" t="s">
        <v>18</v>
      </c>
      <c r="B40" t="s">
        <v>21</v>
      </c>
      <c r="C40" t="s">
        <v>16</v>
      </c>
      <c r="D40" t="s">
        <v>8</v>
      </c>
      <c r="E40" t="s">
        <v>9</v>
      </c>
      <c r="F40" t="s">
        <v>10</v>
      </c>
      <c r="G40" t="s">
        <v>11</v>
      </c>
      <c r="H40">
        <v>5.5</v>
      </c>
    </row>
    <row r="41" spans="1:10">
      <c r="A41" t="s">
        <v>18</v>
      </c>
      <c r="B41" t="s">
        <v>20</v>
      </c>
      <c r="C41" t="s">
        <v>19</v>
      </c>
      <c r="D41" t="s">
        <v>8</v>
      </c>
      <c r="E41" t="s">
        <v>9</v>
      </c>
      <c r="F41" t="s">
        <v>10</v>
      </c>
      <c r="G41" t="s">
        <v>11</v>
      </c>
      <c r="H41">
        <v>3.25</v>
      </c>
      <c r="J41">
        <f>AVERAGE(H41:H43,H7,H15,H22,H28,H33,H37)</f>
        <v>9.1666666666666661</v>
      </c>
    </row>
    <row r="42" spans="1:10">
      <c r="A42" t="s">
        <v>18</v>
      </c>
      <c r="B42" t="s">
        <v>20</v>
      </c>
      <c r="C42" t="s">
        <v>17</v>
      </c>
      <c r="D42" t="s">
        <v>8</v>
      </c>
      <c r="E42" t="s">
        <v>9</v>
      </c>
      <c r="F42" t="s">
        <v>10</v>
      </c>
      <c r="G42" t="s">
        <v>11</v>
      </c>
      <c r="H42">
        <v>7.25</v>
      </c>
    </row>
    <row r="43" spans="1:10">
      <c r="A43" t="s">
        <v>18</v>
      </c>
      <c r="B43" t="s">
        <v>20</v>
      </c>
      <c r="C43" t="s">
        <v>16</v>
      </c>
      <c r="D43" t="s">
        <v>8</v>
      </c>
      <c r="E43" t="s">
        <v>9</v>
      </c>
      <c r="F43" t="s">
        <v>10</v>
      </c>
      <c r="G43" t="s">
        <v>11</v>
      </c>
      <c r="H43">
        <v>13.25</v>
      </c>
    </row>
    <row r="44" spans="1:10">
      <c r="A44" t="s">
        <v>18</v>
      </c>
      <c r="B44" t="s">
        <v>19</v>
      </c>
      <c r="C44" t="s">
        <v>17</v>
      </c>
      <c r="D44" t="s">
        <v>8</v>
      </c>
      <c r="E44" t="s">
        <v>9</v>
      </c>
      <c r="F44" t="s">
        <v>10</v>
      </c>
      <c r="G44" t="s">
        <v>11</v>
      </c>
      <c r="H44">
        <v>10.5</v>
      </c>
      <c r="J44">
        <f>AVERAGE(H44:H45,H8,H16,H23,H29,H34,H38,H41)</f>
        <v>8.6666666666666661</v>
      </c>
    </row>
    <row r="45" spans="1:10">
      <c r="A45" t="s">
        <v>18</v>
      </c>
      <c r="B45" t="s">
        <v>19</v>
      </c>
      <c r="C45" t="s">
        <v>16</v>
      </c>
      <c r="D45" t="s">
        <v>8</v>
      </c>
      <c r="E45" t="s">
        <v>9</v>
      </c>
      <c r="F45" t="s">
        <v>10</v>
      </c>
      <c r="G45" t="s">
        <v>11</v>
      </c>
      <c r="H45">
        <v>10</v>
      </c>
    </row>
    <row r="46" spans="1:10">
      <c r="A46" t="s">
        <v>18</v>
      </c>
      <c r="B46" t="s">
        <v>17</v>
      </c>
      <c r="C46" t="s">
        <v>16</v>
      </c>
      <c r="D46" t="s">
        <v>8</v>
      </c>
      <c r="E46" t="s">
        <v>9</v>
      </c>
      <c r="F46" t="s">
        <v>10</v>
      </c>
      <c r="G46" t="s">
        <v>11</v>
      </c>
      <c r="H46">
        <v>6</v>
      </c>
      <c r="J46">
        <f>AVERAGE(H9,H17,H24,H30,H35,H39,H42,H44,H46)</f>
        <v>7.1111111111111107</v>
      </c>
    </row>
    <row r="47" spans="1:10">
      <c r="I47" t="s">
        <v>115</v>
      </c>
      <c r="J47">
        <f>AVERAGE(H10,H18,H25,H31,H36,H40,H43,H45,H46)</f>
        <v>8.6666666666666661</v>
      </c>
    </row>
    <row r="48" spans="1:10">
      <c r="G48" t="s">
        <v>14</v>
      </c>
      <c r="H48">
        <f>AVERAGE(H2:H46)</f>
        <v>7.1444444444444448</v>
      </c>
    </row>
    <row r="49" spans="7:8">
      <c r="G49" t="s">
        <v>15</v>
      </c>
      <c r="H49">
        <f>_xlfn.STDEV.P(H2:H46)</f>
        <v>2.9450942679163226</v>
      </c>
    </row>
  </sheetData>
  <sortState xmlns:xlrd2="http://schemas.microsoft.com/office/spreadsheetml/2017/richdata2" ref="A2:H46">
    <sortCondition ref="B2:B46"/>
    <sortCondition ref="C2:C46"/>
  </sortState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J49"/>
  <sheetViews>
    <sheetView topLeftCell="A16" workbookViewId="0">
      <selection activeCell="M28" sqref="M28"/>
    </sheetView>
  </sheetViews>
  <sheetFormatPr defaultColWidth="11" defaultRowHeight="15.75"/>
  <sheetData>
    <row r="1" spans="1:10">
      <c r="A1" s="13" t="s">
        <v>0</v>
      </c>
      <c r="B1" s="13" t="s">
        <v>1</v>
      </c>
      <c r="C1" s="13" t="s">
        <v>2</v>
      </c>
      <c r="D1" s="13" t="s">
        <v>3</v>
      </c>
      <c r="E1" s="13" t="s">
        <v>4</v>
      </c>
      <c r="F1" s="13" t="s">
        <v>5</v>
      </c>
      <c r="G1" s="13" t="s">
        <v>6</v>
      </c>
      <c r="H1" s="13" t="s">
        <v>7</v>
      </c>
      <c r="I1" s="13"/>
    </row>
    <row r="2" spans="1:10">
      <c r="A2" t="s">
        <v>84</v>
      </c>
      <c r="B2" t="s">
        <v>87</v>
      </c>
      <c r="C2" t="s">
        <v>88</v>
      </c>
      <c r="D2" t="s">
        <v>8</v>
      </c>
      <c r="E2" t="s">
        <v>9</v>
      </c>
      <c r="F2" t="s">
        <v>10</v>
      </c>
      <c r="G2" t="s">
        <v>11</v>
      </c>
      <c r="H2">
        <v>6.25</v>
      </c>
      <c r="I2" s="13"/>
      <c r="J2">
        <f>AVERAGE(H2:H10)</f>
        <v>11.722222222222221</v>
      </c>
    </row>
    <row r="3" spans="1:10">
      <c r="A3" t="s">
        <v>84</v>
      </c>
      <c r="B3" t="s">
        <v>87</v>
      </c>
      <c r="C3" t="s">
        <v>90</v>
      </c>
      <c r="D3" t="s">
        <v>8</v>
      </c>
      <c r="E3" t="s">
        <v>9</v>
      </c>
      <c r="F3" t="s">
        <v>10</v>
      </c>
      <c r="G3" t="s">
        <v>11</v>
      </c>
      <c r="H3">
        <v>10.25</v>
      </c>
      <c r="I3" s="13"/>
    </row>
    <row r="4" spans="1:10">
      <c r="A4" t="s">
        <v>84</v>
      </c>
      <c r="B4" t="s">
        <v>87</v>
      </c>
      <c r="C4" t="s">
        <v>89</v>
      </c>
      <c r="D4" t="s">
        <v>8</v>
      </c>
      <c r="E4" t="s">
        <v>9</v>
      </c>
      <c r="F4" t="s">
        <v>10</v>
      </c>
      <c r="G4" t="s">
        <v>11</v>
      </c>
      <c r="H4">
        <v>15</v>
      </c>
      <c r="I4" s="13"/>
    </row>
    <row r="5" spans="1:10">
      <c r="A5" t="s">
        <v>84</v>
      </c>
      <c r="B5" t="s">
        <v>87</v>
      </c>
      <c r="C5" t="s">
        <v>12</v>
      </c>
      <c r="D5" t="s">
        <v>8</v>
      </c>
      <c r="E5" t="s">
        <v>9</v>
      </c>
      <c r="F5" t="s">
        <v>10</v>
      </c>
      <c r="G5" t="s">
        <v>11</v>
      </c>
      <c r="H5">
        <v>9.75</v>
      </c>
      <c r="I5" s="13"/>
    </row>
    <row r="6" spans="1:10">
      <c r="A6" t="s">
        <v>84</v>
      </c>
      <c r="B6" t="s">
        <v>87</v>
      </c>
      <c r="C6" t="s">
        <v>91</v>
      </c>
      <c r="D6" t="s">
        <v>8</v>
      </c>
      <c r="E6" t="s">
        <v>9</v>
      </c>
      <c r="F6" t="s">
        <v>10</v>
      </c>
      <c r="G6" t="s">
        <v>11</v>
      </c>
      <c r="H6">
        <v>10.5</v>
      </c>
      <c r="I6" s="13"/>
    </row>
    <row r="7" spans="1:10">
      <c r="A7" t="s">
        <v>84</v>
      </c>
      <c r="B7" t="s">
        <v>87</v>
      </c>
      <c r="C7" t="s">
        <v>92</v>
      </c>
      <c r="D7" t="s">
        <v>8</v>
      </c>
      <c r="E7" t="s">
        <v>9</v>
      </c>
      <c r="F7" t="s">
        <v>10</v>
      </c>
      <c r="G7" t="s">
        <v>11</v>
      </c>
      <c r="H7">
        <v>18</v>
      </c>
      <c r="I7" s="13"/>
    </row>
    <row r="8" spans="1:10">
      <c r="A8" t="s">
        <v>84</v>
      </c>
      <c r="B8" t="s">
        <v>87</v>
      </c>
      <c r="C8" t="s">
        <v>94</v>
      </c>
      <c r="D8" t="s">
        <v>8</v>
      </c>
      <c r="E8" t="s">
        <v>9</v>
      </c>
      <c r="F8" t="s">
        <v>10</v>
      </c>
      <c r="G8" t="s">
        <v>11</v>
      </c>
      <c r="H8">
        <v>8.75</v>
      </c>
      <c r="I8" s="13"/>
    </row>
    <row r="9" spans="1:10">
      <c r="A9" t="s">
        <v>84</v>
      </c>
      <c r="B9" t="s">
        <v>87</v>
      </c>
      <c r="C9" t="s">
        <v>93</v>
      </c>
      <c r="D9" t="s">
        <v>8</v>
      </c>
      <c r="E9" t="s">
        <v>9</v>
      </c>
      <c r="F9" t="s">
        <v>10</v>
      </c>
      <c r="G9" t="s">
        <v>11</v>
      </c>
      <c r="H9">
        <v>15.25</v>
      </c>
      <c r="I9" s="13"/>
    </row>
    <row r="10" spans="1:10">
      <c r="A10" t="s">
        <v>84</v>
      </c>
      <c r="B10" t="s">
        <v>87</v>
      </c>
      <c r="C10" t="s">
        <v>13</v>
      </c>
      <c r="D10" t="s">
        <v>8</v>
      </c>
      <c r="E10" t="s">
        <v>9</v>
      </c>
      <c r="F10" t="s">
        <v>10</v>
      </c>
      <c r="G10" t="s">
        <v>11</v>
      </c>
      <c r="H10">
        <v>11.75</v>
      </c>
      <c r="I10" s="13"/>
    </row>
    <row r="11" spans="1:10">
      <c r="A11" t="s">
        <v>84</v>
      </c>
      <c r="B11" t="s">
        <v>88</v>
      </c>
      <c r="C11" t="s">
        <v>90</v>
      </c>
      <c r="D11" t="s">
        <v>8</v>
      </c>
      <c r="E11" t="s">
        <v>9</v>
      </c>
      <c r="F11" t="s">
        <v>10</v>
      </c>
      <c r="G11" t="s">
        <v>11</v>
      </c>
      <c r="H11">
        <v>8</v>
      </c>
      <c r="I11" s="13"/>
      <c r="J11">
        <f>AVERAGE(H11:H18,H2)</f>
        <v>9.7222222222222214</v>
      </c>
    </row>
    <row r="12" spans="1:10">
      <c r="A12" t="s">
        <v>84</v>
      </c>
      <c r="B12" t="s">
        <v>88</v>
      </c>
      <c r="C12" t="s">
        <v>89</v>
      </c>
      <c r="D12" t="s">
        <v>8</v>
      </c>
      <c r="E12" t="s">
        <v>9</v>
      </c>
      <c r="F12" t="s">
        <v>10</v>
      </c>
      <c r="G12" t="s">
        <v>11</v>
      </c>
      <c r="H12">
        <v>12.75</v>
      </c>
      <c r="I12" s="13"/>
    </row>
    <row r="13" spans="1:10">
      <c r="A13" t="s">
        <v>84</v>
      </c>
      <c r="B13" t="s">
        <v>88</v>
      </c>
      <c r="C13" t="s">
        <v>12</v>
      </c>
      <c r="D13" t="s">
        <v>8</v>
      </c>
      <c r="E13" t="s">
        <v>9</v>
      </c>
      <c r="F13" t="s">
        <v>10</v>
      </c>
      <c r="G13" t="s">
        <v>11</v>
      </c>
      <c r="H13">
        <v>9.5</v>
      </c>
      <c r="I13" s="13"/>
    </row>
    <row r="14" spans="1:10">
      <c r="A14" t="s">
        <v>84</v>
      </c>
      <c r="B14" t="s">
        <v>88</v>
      </c>
      <c r="C14" t="s">
        <v>91</v>
      </c>
      <c r="D14" t="s">
        <v>8</v>
      </c>
      <c r="E14" t="s">
        <v>9</v>
      </c>
      <c r="F14" t="s">
        <v>10</v>
      </c>
      <c r="G14" t="s">
        <v>11</v>
      </c>
      <c r="H14">
        <v>4.25</v>
      </c>
      <c r="I14" s="13"/>
    </row>
    <row r="15" spans="1:10">
      <c r="A15" t="s">
        <v>84</v>
      </c>
      <c r="B15" t="s">
        <v>88</v>
      </c>
      <c r="C15" t="s">
        <v>92</v>
      </c>
      <c r="D15" t="s">
        <v>8</v>
      </c>
      <c r="E15" t="s">
        <v>9</v>
      </c>
      <c r="F15" t="s">
        <v>10</v>
      </c>
      <c r="G15" t="s">
        <v>11</v>
      </c>
      <c r="H15">
        <v>17.25</v>
      </c>
      <c r="I15" s="13"/>
    </row>
    <row r="16" spans="1:10">
      <c r="A16" t="s">
        <v>84</v>
      </c>
      <c r="B16" t="s">
        <v>88</v>
      </c>
      <c r="C16" t="s">
        <v>94</v>
      </c>
      <c r="D16" t="s">
        <v>8</v>
      </c>
      <c r="E16" t="s">
        <v>9</v>
      </c>
      <c r="F16" t="s">
        <v>10</v>
      </c>
      <c r="G16" t="s">
        <v>11</v>
      </c>
      <c r="H16">
        <v>9</v>
      </c>
      <c r="I16" s="13"/>
    </row>
    <row r="17" spans="1:10">
      <c r="A17" t="s">
        <v>84</v>
      </c>
      <c r="B17" t="s">
        <v>88</v>
      </c>
      <c r="C17" t="s">
        <v>93</v>
      </c>
      <c r="D17" t="s">
        <v>8</v>
      </c>
      <c r="E17" t="s">
        <v>9</v>
      </c>
      <c r="F17" t="s">
        <v>10</v>
      </c>
      <c r="G17" t="s">
        <v>11</v>
      </c>
      <c r="H17">
        <v>11</v>
      </c>
      <c r="I17" s="13"/>
    </row>
    <row r="18" spans="1:10">
      <c r="A18" t="s">
        <v>84</v>
      </c>
      <c r="B18" t="s">
        <v>88</v>
      </c>
      <c r="C18" t="s">
        <v>13</v>
      </c>
      <c r="D18" t="s">
        <v>8</v>
      </c>
      <c r="E18" t="s">
        <v>9</v>
      </c>
      <c r="F18" t="s">
        <v>10</v>
      </c>
      <c r="G18" t="s">
        <v>11</v>
      </c>
      <c r="H18">
        <v>9.5</v>
      </c>
      <c r="I18" s="13"/>
    </row>
    <row r="19" spans="1:10">
      <c r="A19" t="s">
        <v>84</v>
      </c>
      <c r="B19" t="s">
        <v>90</v>
      </c>
      <c r="C19" t="s">
        <v>89</v>
      </c>
      <c r="D19" t="s">
        <v>8</v>
      </c>
      <c r="E19" t="s">
        <v>9</v>
      </c>
      <c r="F19" t="s">
        <v>10</v>
      </c>
      <c r="G19" t="s">
        <v>11</v>
      </c>
      <c r="H19">
        <v>8.75</v>
      </c>
      <c r="I19" s="13"/>
      <c r="J19">
        <f>AVERAGE(H19:H25,H11,H3)</f>
        <v>11.777777777777779</v>
      </c>
    </row>
    <row r="20" spans="1:10">
      <c r="A20" t="s">
        <v>84</v>
      </c>
      <c r="B20" t="s">
        <v>90</v>
      </c>
      <c r="C20" t="s">
        <v>12</v>
      </c>
      <c r="D20" t="s">
        <v>8</v>
      </c>
      <c r="E20" t="s">
        <v>9</v>
      </c>
      <c r="F20" t="s">
        <v>10</v>
      </c>
      <c r="G20" t="s">
        <v>11</v>
      </c>
      <c r="H20">
        <v>13.5</v>
      </c>
      <c r="I20" s="13"/>
    </row>
    <row r="21" spans="1:10">
      <c r="A21" t="s">
        <v>84</v>
      </c>
      <c r="B21" t="s">
        <v>90</v>
      </c>
      <c r="C21" t="s">
        <v>91</v>
      </c>
      <c r="D21" t="s">
        <v>8</v>
      </c>
      <c r="E21" t="s">
        <v>9</v>
      </c>
      <c r="F21" t="s">
        <v>10</v>
      </c>
      <c r="G21" t="s">
        <v>11</v>
      </c>
      <c r="H21">
        <v>12.25</v>
      </c>
      <c r="I21" s="13"/>
    </row>
    <row r="22" spans="1:10">
      <c r="A22" t="s">
        <v>84</v>
      </c>
      <c r="B22" t="s">
        <v>90</v>
      </c>
      <c r="C22" t="s">
        <v>92</v>
      </c>
      <c r="D22" t="s">
        <v>8</v>
      </c>
      <c r="E22" t="s">
        <v>9</v>
      </c>
      <c r="F22" t="s">
        <v>10</v>
      </c>
      <c r="G22" t="s">
        <v>11</v>
      </c>
      <c r="H22">
        <v>19.25</v>
      </c>
      <c r="I22" s="13"/>
    </row>
    <row r="23" spans="1:10">
      <c r="A23" t="s">
        <v>84</v>
      </c>
      <c r="B23" t="s">
        <v>90</v>
      </c>
      <c r="C23" t="s">
        <v>94</v>
      </c>
      <c r="D23" t="s">
        <v>8</v>
      </c>
      <c r="E23" t="s">
        <v>9</v>
      </c>
      <c r="F23" t="s">
        <v>10</v>
      </c>
      <c r="G23" t="s">
        <v>11</v>
      </c>
      <c r="H23">
        <v>11.5</v>
      </c>
      <c r="I23" s="13"/>
    </row>
    <row r="24" spans="1:10">
      <c r="A24" t="s">
        <v>84</v>
      </c>
      <c r="B24" t="s">
        <v>90</v>
      </c>
      <c r="C24" t="s">
        <v>93</v>
      </c>
      <c r="D24" t="s">
        <v>8</v>
      </c>
      <c r="E24" t="s">
        <v>9</v>
      </c>
      <c r="F24" t="s">
        <v>10</v>
      </c>
      <c r="G24" t="s">
        <v>11</v>
      </c>
      <c r="H24">
        <v>11.5</v>
      </c>
      <c r="I24" s="13"/>
    </row>
    <row r="25" spans="1:10">
      <c r="A25" t="s">
        <v>84</v>
      </c>
      <c r="B25" t="s">
        <v>90</v>
      </c>
      <c r="C25" t="s">
        <v>13</v>
      </c>
      <c r="D25" t="s">
        <v>8</v>
      </c>
      <c r="E25" t="s">
        <v>9</v>
      </c>
      <c r="F25" t="s">
        <v>10</v>
      </c>
      <c r="G25" t="s">
        <v>11</v>
      </c>
      <c r="H25">
        <v>11</v>
      </c>
      <c r="I25" s="13"/>
    </row>
    <row r="26" spans="1:10">
      <c r="A26" t="s">
        <v>84</v>
      </c>
      <c r="B26" t="s">
        <v>89</v>
      </c>
      <c r="C26" t="s">
        <v>12</v>
      </c>
      <c r="D26" t="s">
        <v>8</v>
      </c>
      <c r="E26" t="s">
        <v>9</v>
      </c>
      <c r="F26" t="s">
        <v>10</v>
      </c>
      <c r="G26" t="s">
        <v>11</v>
      </c>
      <c r="H26">
        <v>9.25</v>
      </c>
      <c r="I26" s="13"/>
      <c r="J26">
        <f>AVERAGE(H26:H31,H4,H12,H19)</f>
        <v>13</v>
      </c>
    </row>
    <row r="27" spans="1:10">
      <c r="A27" t="s">
        <v>84</v>
      </c>
      <c r="B27" t="s">
        <v>89</v>
      </c>
      <c r="C27" t="s">
        <v>91</v>
      </c>
      <c r="D27" t="s">
        <v>8</v>
      </c>
      <c r="E27" t="s">
        <v>9</v>
      </c>
      <c r="F27" t="s">
        <v>10</v>
      </c>
      <c r="G27" t="s">
        <v>11</v>
      </c>
      <c r="H27">
        <v>14.5</v>
      </c>
      <c r="I27" s="13"/>
    </row>
    <row r="28" spans="1:10">
      <c r="A28" t="s">
        <v>84</v>
      </c>
      <c r="B28" t="s">
        <v>89</v>
      </c>
      <c r="C28" t="s">
        <v>92</v>
      </c>
      <c r="D28" t="s">
        <v>8</v>
      </c>
      <c r="E28" t="s">
        <v>9</v>
      </c>
      <c r="F28" t="s">
        <v>10</v>
      </c>
      <c r="G28" t="s">
        <v>11</v>
      </c>
      <c r="H28">
        <v>12</v>
      </c>
      <c r="I28" s="13"/>
    </row>
    <row r="29" spans="1:10">
      <c r="A29" t="s">
        <v>84</v>
      </c>
      <c r="B29" t="s">
        <v>89</v>
      </c>
      <c r="C29" t="s">
        <v>94</v>
      </c>
      <c r="D29" t="s">
        <v>8</v>
      </c>
      <c r="E29" t="s">
        <v>9</v>
      </c>
      <c r="F29" t="s">
        <v>10</v>
      </c>
      <c r="G29" t="s">
        <v>11</v>
      </c>
      <c r="H29">
        <v>16.25</v>
      </c>
      <c r="I29" s="13"/>
    </row>
    <row r="30" spans="1:10">
      <c r="A30" t="s">
        <v>84</v>
      </c>
      <c r="B30" t="s">
        <v>89</v>
      </c>
      <c r="C30" t="s">
        <v>93</v>
      </c>
      <c r="D30" t="s">
        <v>8</v>
      </c>
      <c r="E30" t="s">
        <v>9</v>
      </c>
      <c r="F30" t="s">
        <v>10</v>
      </c>
      <c r="G30" t="s">
        <v>11</v>
      </c>
      <c r="H30">
        <v>10.75</v>
      </c>
      <c r="I30" s="13"/>
    </row>
    <row r="31" spans="1:10">
      <c r="A31" t="s">
        <v>84</v>
      </c>
      <c r="B31" t="s">
        <v>89</v>
      </c>
      <c r="C31" t="s">
        <v>13</v>
      </c>
      <c r="D31" t="s">
        <v>8</v>
      </c>
      <c r="E31" t="s">
        <v>9</v>
      </c>
      <c r="F31" t="s">
        <v>10</v>
      </c>
      <c r="G31" t="s">
        <v>11</v>
      </c>
      <c r="H31">
        <v>17.75</v>
      </c>
      <c r="I31" s="13"/>
    </row>
    <row r="32" spans="1:10">
      <c r="A32" t="s">
        <v>84</v>
      </c>
      <c r="B32" t="s">
        <v>12</v>
      </c>
      <c r="C32" t="s">
        <v>91</v>
      </c>
      <c r="D32" t="s">
        <v>8</v>
      </c>
      <c r="E32" t="s">
        <v>9</v>
      </c>
      <c r="F32" t="s">
        <v>10</v>
      </c>
      <c r="G32" t="s">
        <v>11</v>
      </c>
      <c r="H32">
        <v>10.75</v>
      </c>
      <c r="I32" s="13"/>
      <c r="J32">
        <f>AVERAGE(H32:H36,H5,H13,H20,H26)</f>
        <v>12.111111111111111</v>
      </c>
    </row>
    <row r="33" spans="1:10">
      <c r="A33" t="s">
        <v>84</v>
      </c>
      <c r="B33" t="s">
        <v>12</v>
      </c>
      <c r="C33" t="s">
        <v>92</v>
      </c>
      <c r="D33" t="s">
        <v>8</v>
      </c>
      <c r="E33" t="s">
        <v>9</v>
      </c>
      <c r="F33" t="s">
        <v>10</v>
      </c>
      <c r="G33" t="s">
        <v>11</v>
      </c>
      <c r="H33">
        <v>14.75</v>
      </c>
      <c r="I33" s="13"/>
    </row>
    <row r="34" spans="1:10">
      <c r="A34" t="s">
        <v>84</v>
      </c>
      <c r="B34" t="s">
        <v>12</v>
      </c>
      <c r="C34" t="s">
        <v>94</v>
      </c>
      <c r="D34" t="s">
        <v>8</v>
      </c>
      <c r="E34" t="s">
        <v>9</v>
      </c>
      <c r="F34" t="s">
        <v>10</v>
      </c>
      <c r="G34" t="s">
        <v>11</v>
      </c>
      <c r="H34">
        <v>16.5</v>
      </c>
      <c r="I34" s="13"/>
    </row>
    <row r="35" spans="1:10">
      <c r="A35" t="s">
        <v>84</v>
      </c>
      <c r="B35" t="s">
        <v>12</v>
      </c>
      <c r="C35" t="s">
        <v>93</v>
      </c>
      <c r="D35" t="s">
        <v>8</v>
      </c>
      <c r="E35" t="s">
        <v>9</v>
      </c>
      <c r="F35" t="s">
        <v>10</v>
      </c>
      <c r="G35" t="s">
        <v>11</v>
      </c>
      <c r="H35">
        <v>10</v>
      </c>
      <c r="I35" s="13"/>
    </row>
    <row r="36" spans="1:10">
      <c r="A36" t="s">
        <v>84</v>
      </c>
      <c r="B36" t="s">
        <v>12</v>
      </c>
      <c r="C36" t="s">
        <v>13</v>
      </c>
      <c r="D36" t="s">
        <v>8</v>
      </c>
      <c r="E36" t="s">
        <v>9</v>
      </c>
      <c r="F36" t="s">
        <v>10</v>
      </c>
      <c r="G36" t="s">
        <v>11</v>
      </c>
      <c r="H36">
        <v>15</v>
      </c>
      <c r="I36" s="13"/>
    </row>
    <row r="37" spans="1:10">
      <c r="A37" t="s">
        <v>84</v>
      </c>
      <c r="B37" t="s">
        <v>91</v>
      </c>
      <c r="C37" t="s">
        <v>92</v>
      </c>
      <c r="D37" t="s">
        <v>8</v>
      </c>
      <c r="E37" t="s">
        <v>9</v>
      </c>
      <c r="F37" t="s">
        <v>10</v>
      </c>
      <c r="G37" t="s">
        <v>11</v>
      </c>
      <c r="H37">
        <v>18.5</v>
      </c>
      <c r="I37" s="13"/>
      <c r="J37">
        <f>AVERAGE(H37:H40,H6,H14,H21,H27,H32)</f>
        <v>11.111111111111111</v>
      </c>
    </row>
    <row r="38" spans="1:10">
      <c r="A38" t="s">
        <v>84</v>
      </c>
      <c r="B38" t="s">
        <v>91</v>
      </c>
      <c r="C38" t="s">
        <v>94</v>
      </c>
      <c r="D38" t="s">
        <v>8</v>
      </c>
      <c r="E38" t="s">
        <v>9</v>
      </c>
      <c r="F38" t="s">
        <v>10</v>
      </c>
      <c r="G38" t="s">
        <v>11</v>
      </c>
      <c r="H38">
        <v>7.25</v>
      </c>
      <c r="I38" s="13"/>
    </row>
    <row r="39" spans="1:10">
      <c r="A39" t="s">
        <v>84</v>
      </c>
      <c r="B39" t="s">
        <v>91</v>
      </c>
      <c r="C39" t="s">
        <v>93</v>
      </c>
      <c r="D39" t="s">
        <v>8</v>
      </c>
      <c r="E39" t="s">
        <v>9</v>
      </c>
      <c r="F39" t="s">
        <v>10</v>
      </c>
      <c r="G39" t="s">
        <v>11</v>
      </c>
      <c r="H39">
        <v>8.25</v>
      </c>
      <c r="I39" s="13"/>
    </row>
    <row r="40" spans="1:10">
      <c r="A40" t="s">
        <v>84</v>
      </c>
      <c r="B40" t="s">
        <v>91</v>
      </c>
      <c r="C40" t="s">
        <v>13</v>
      </c>
      <c r="D40" t="s">
        <v>8</v>
      </c>
      <c r="E40" t="s">
        <v>9</v>
      </c>
      <c r="F40" t="s">
        <v>10</v>
      </c>
      <c r="G40" t="s">
        <v>11</v>
      </c>
      <c r="H40">
        <v>13.75</v>
      </c>
      <c r="I40" s="13"/>
    </row>
    <row r="41" spans="1:10">
      <c r="A41" t="s">
        <v>84</v>
      </c>
      <c r="B41" t="s">
        <v>92</v>
      </c>
      <c r="C41" t="s">
        <v>94</v>
      </c>
      <c r="D41" t="s">
        <v>8</v>
      </c>
      <c r="E41" t="s">
        <v>9</v>
      </c>
      <c r="F41" t="s">
        <v>10</v>
      </c>
      <c r="G41" t="s">
        <v>11</v>
      </c>
      <c r="H41">
        <v>17.25</v>
      </c>
      <c r="I41" s="13"/>
      <c r="J41">
        <f>AVERAGE(H41:H43,H7,H22,H15,H28,H33,H37)</f>
        <v>16.611111111111111</v>
      </c>
    </row>
    <row r="42" spans="1:10">
      <c r="A42" t="s">
        <v>84</v>
      </c>
      <c r="B42" t="s">
        <v>92</v>
      </c>
      <c r="C42" t="s">
        <v>93</v>
      </c>
      <c r="D42" t="s">
        <v>8</v>
      </c>
      <c r="E42" t="s">
        <v>9</v>
      </c>
      <c r="F42" t="s">
        <v>10</v>
      </c>
      <c r="G42" t="s">
        <v>11</v>
      </c>
      <c r="H42">
        <v>14.25</v>
      </c>
      <c r="I42" s="13"/>
    </row>
    <row r="43" spans="1:10">
      <c r="A43" t="s">
        <v>84</v>
      </c>
      <c r="B43" t="s">
        <v>92</v>
      </c>
      <c r="C43" t="s">
        <v>13</v>
      </c>
      <c r="D43" t="s">
        <v>8</v>
      </c>
      <c r="E43" t="s">
        <v>9</v>
      </c>
      <c r="F43" t="s">
        <v>10</v>
      </c>
      <c r="G43" t="s">
        <v>11</v>
      </c>
      <c r="H43">
        <v>18.25</v>
      </c>
      <c r="I43" s="13"/>
    </row>
    <row r="44" spans="1:10">
      <c r="A44" t="s">
        <v>84</v>
      </c>
      <c r="B44" t="s">
        <v>94</v>
      </c>
      <c r="C44" t="s">
        <v>93</v>
      </c>
      <c r="D44" t="s">
        <v>8</v>
      </c>
      <c r="E44" t="s">
        <v>9</v>
      </c>
      <c r="F44" t="s">
        <v>10</v>
      </c>
      <c r="G44" t="s">
        <v>11</v>
      </c>
      <c r="H44">
        <v>8.5</v>
      </c>
      <c r="I44" s="13"/>
      <c r="J44">
        <f>AVERAGE(H44:H45,H8,H16,H23,H29,H34,H38,H41)</f>
        <v>12.611111111111111</v>
      </c>
    </row>
    <row r="45" spans="1:10">
      <c r="A45" t="s">
        <v>84</v>
      </c>
      <c r="B45" t="s">
        <v>94</v>
      </c>
      <c r="C45" t="s">
        <v>13</v>
      </c>
      <c r="D45" t="s">
        <v>8</v>
      </c>
      <c r="E45" t="s">
        <v>9</v>
      </c>
      <c r="F45" t="s">
        <v>10</v>
      </c>
      <c r="G45" t="s">
        <v>11</v>
      </c>
      <c r="H45">
        <v>18.5</v>
      </c>
      <c r="I45" s="13"/>
    </row>
    <row r="46" spans="1:10">
      <c r="A46" t="s">
        <v>84</v>
      </c>
      <c r="B46" t="s">
        <v>93</v>
      </c>
      <c r="C46" t="s">
        <v>13</v>
      </c>
      <c r="D46" t="s">
        <v>8</v>
      </c>
      <c r="E46" t="s">
        <v>9</v>
      </c>
      <c r="F46" t="s">
        <v>10</v>
      </c>
      <c r="G46" t="s">
        <v>11</v>
      </c>
      <c r="H46">
        <v>17</v>
      </c>
      <c r="I46" s="13"/>
      <c r="J46">
        <f>AVERAGE(H46,H9,H17,H24,H30,H35,H39,H42,H44)</f>
        <v>11.833333333333334</v>
      </c>
    </row>
    <row r="47" spans="1:10">
      <c r="A47" s="13"/>
      <c r="B47" s="13"/>
      <c r="C47" s="13"/>
      <c r="D47" s="13"/>
      <c r="E47" s="13"/>
      <c r="F47" s="13"/>
      <c r="G47" s="13"/>
      <c r="H47" s="13"/>
      <c r="I47" s="13" t="s">
        <v>116</v>
      </c>
      <c r="J47">
        <f>AVERAGE(H10,H18,H25,H31,H36,H40,H43,H45,H46)</f>
        <v>14.722222222222221</v>
      </c>
    </row>
    <row r="48" spans="1:10">
      <c r="A48" s="13"/>
      <c r="B48" s="13"/>
      <c r="C48" s="13"/>
      <c r="D48" s="13"/>
      <c r="E48" s="13"/>
      <c r="F48" s="13"/>
      <c r="G48" s="13" t="s">
        <v>14</v>
      </c>
      <c r="H48" s="13">
        <v>11.9777778</v>
      </c>
      <c r="I48" s="13"/>
    </row>
    <row r="49" spans="1:9">
      <c r="A49" s="13"/>
      <c r="B49" s="13"/>
      <c r="C49" s="13"/>
      <c r="D49" s="13"/>
      <c r="E49" s="13"/>
      <c r="F49" s="13"/>
      <c r="G49" s="13" t="s">
        <v>15</v>
      </c>
      <c r="H49" s="13">
        <v>3.5401750700000001</v>
      </c>
      <c r="I49" s="13"/>
    </row>
  </sheetData>
  <sortState xmlns:xlrd2="http://schemas.microsoft.com/office/spreadsheetml/2017/richdata2" ref="A2:I46">
    <sortCondition ref="B2:B46"/>
    <sortCondition ref="C2:C46"/>
  </sortState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C6618-8557-AE42-86EF-9EC4CC4DDA95}">
  <dimension ref="A1:J34"/>
  <sheetViews>
    <sheetView workbookViewId="0">
      <pane ySplit="1" topLeftCell="A2" activePane="bottomLeft" state="frozen"/>
      <selection pane="bottomLeft" activeCell="J18" sqref="J18"/>
    </sheetView>
  </sheetViews>
  <sheetFormatPr defaultColWidth="11" defaultRowHeight="15.75"/>
  <cols>
    <col min="1" max="1" width="7.625" customWidth="1"/>
    <col min="3" max="3" width="8.375" customWidth="1"/>
    <col min="4" max="4" width="8.125" customWidth="1"/>
    <col min="5" max="5" width="6.625" customWidth="1"/>
    <col min="6" max="6" width="8.875" customWidth="1"/>
    <col min="7" max="7" width="8.125" customWidth="1"/>
    <col min="8" max="8" width="8.5" customWidth="1"/>
    <col min="9" max="9" width="7.625" customWidth="1"/>
    <col min="10" max="10" width="6.625" customWidth="1"/>
  </cols>
  <sheetData>
    <row r="1" spans="1:10">
      <c r="A1" t="s">
        <v>63</v>
      </c>
      <c r="B1" t="s">
        <v>64</v>
      </c>
      <c r="C1" t="s">
        <v>65</v>
      </c>
      <c r="D1" t="s">
        <v>66</v>
      </c>
      <c r="E1" t="s">
        <v>67</v>
      </c>
      <c r="F1" t="s">
        <v>68</v>
      </c>
      <c r="G1" t="s">
        <v>69</v>
      </c>
      <c r="H1" t="s">
        <v>70</v>
      </c>
      <c r="I1" t="s">
        <v>71</v>
      </c>
      <c r="J1" t="s">
        <v>72</v>
      </c>
    </row>
    <row r="2" spans="1:10">
      <c r="A2" s="5" t="s">
        <v>88</v>
      </c>
      <c r="B2" s="5">
        <v>225291</v>
      </c>
      <c r="C2" s="5">
        <v>8350</v>
      </c>
      <c r="D2" s="5">
        <v>121176</v>
      </c>
      <c r="E2" s="5">
        <v>8308</v>
      </c>
      <c r="F2" s="5">
        <v>4417.47</v>
      </c>
      <c r="G2" s="5">
        <v>5.3526999999999996</v>
      </c>
      <c r="H2" s="5">
        <v>99.55</v>
      </c>
      <c r="I2" s="5">
        <v>3.9217</v>
      </c>
      <c r="J2" s="5">
        <v>3</v>
      </c>
    </row>
    <row r="3" spans="1:10">
      <c r="A3" s="5" t="s">
        <v>94</v>
      </c>
      <c r="B3" s="5">
        <v>43605</v>
      </c>
      <c r="C3" s="5">
        <v>7619</v>
      </c>
      <c r="D3" s="5">
        <v>41204</v>
      </c>
      <c r="E3" s="5">
        <v>7559</v>
      </c>
      <c r="F3" s="5">
        <v>855</v>
      </c>
      <c r="G3" s="5">
        <v>4.6395</v>
      </c>
      <c r="H3" s="5">
        <v>90.83</v>
      </c>
      <c r="I3" s="5">
        <v>3.8820000000000001</v>
      </c>
      <c r="J3" s="5">
        <v>4</v>
      </c>
    </row>
    <row r="4" spans="1:10">
      <c r="A4" s="5" t="s">
        <v>12</v>
      </c>
      <c r="B4" s="5">
        <v>4995</v>
      </c>
      <c r="C4" s="5">
        <v>2568</v>
      </c>
      <c r="D4" s="5">
        <v>4767</v>
      </c>
      <c r="E4" s="5">
        <v>2516</v>
      </c>
      <c r="F4" s="5">
        <v>97.94</v>
      </c>
      <c r="G4" s="5">
        <v>3.6985999999999999</v>
      </c>
      <c r="H4" s="5">
        <v>30.62</v>
      </c>
      <c r="I4" s="5">
        <v>3.4098000000000002</v>
      </c>
      <c r="J4" s="5">
        <v>4</v>
      </c>
    </row>
    <row r="5" spans="1:10">
      <c r="A5" s="5" t="s">
        <v>87</v>
      </c>
      <c r="B5" s="5">
        <v>2600</v>
      </c>
      <c r="C5" s="5">
        <v>1643</v>
      </c>
      <c r="D5" s="5">
        <v>2388</v>
      </c>
      <c r="E5" s="5">
        <v>1543</v>
      </c>
      <c r="F5" s="5">
        <v>50.98</v>
      </c>
      <c r="G5" s="5">
        <v>3.4150999999999998</v>
      </c>
      <c r="H5" s="5">
        <v>19.59</v>
      </c>
      <c r="I5" s="5">
        <v>3.2159</v>
      </c>
      <c r="J5" s="5">
        <v>3</v>
      </c>
    </row>
    <row r="6" spans="1:10">
      <c r="A6" s="5" t="s">
        <v>13</v>
      </c>
      <c r="B6" s="5">
        <v>2000</v>
      </c>
      <c r="C6" s="5">
        <v>1405</v>
      </c>
      <c r="D6" s="5">
        <v>1851</v>
      </c>
      <c r="E6" s="5">
        <v>1352</v>
      </c>
      <c r="F6" s="5">
        <v>39.22</v>
      </c>
      <c r="G6" s="5">
        <v>3.3012000000000001</v>
      </c>
      <c r="H6" s="5">
        <v>16.75</v>
      </c>
      <c r="I6" s="5">
        <v>3.1480000000000001</v>
      </c>
      <c r="J6" s="5">
        <v>3</v>
      </c>
    </row>
    <row r="7" spans="1:10">
      <c r="A7" s="5" t="s">
        <v>91</v>
      </c>
      <c r="B7" s="5">
        <v>1149</v>
      </c>
      <c r="C7" s="5">
        <v>763</v>
      </c>
      <c r="D7" s="5">
        <v>1084</v>
      </c>
      <c r="E7" s="5">
        <v>736</v>
      </c>
      <c r="F7" s="5">
        <v>22.53</v>
      </c>
      <c r="G7" s="5">
        <v>3.0607000000000002</v>
      </c>
      <c r="H7" s="5">
        <v>9.1</v>
      </c>
      <c r="I7" s="5">
        <v>2.8831000000000002</v>
      </c>
      <c r="J7" s="5">
        <v>3</v>
      </c>
    </row>
    <row r="8" spans="1:10">
      <c r="A8" s="5" t="s">
        <v>93</v>
      </c>
      <c r="B8" s="5">
        <v>796</v>
      </c>
      <c r="C8" s="5">
        <v>552</v>
      </c>
      <c r="D8" s="5">
        <v>728</v>
      </c>
      <c r="E8" s="5">
        <v>514</v>
      </c>
      <c r="F8" s="5">
        <v>15.61</v>
      </c>
      <c r="G8" s="5">
        <v>2.9015</v>
      </c>
      <c r="H8" s="5">
        <v>6.58</v>
      </c>
      <c r="I8" s="5">
        <v>2.7427000000000001</v>
      </c>
      <c r="J8" s="5">
        <v>4</v>
      </c>
    </row>
    <row r="9" spans="1:10">
      <c r="A9" s="5" t="s">
        <v>92</v>
      </c>
      <c r="B9" s="5">
        <v>173</v>
      </c>
      <c r="C9" s="5">
        <v>125</v>
      </c>
      <c r="D9" s="5">
        <v>172</v>
      </c>
      <c r="E9" s="5">
        <v>124</v>
      </c>
      <c r="F9" s="5">
        <v>3.39</v>
      </c>
      <c r="G9" s="5">
        <v>2.2404999999999999</v>
      </c>
      <c r="H9" s="5">
        <v>1.49</v>
      </c>
      <c r="I9" s="5">
        <v>2.1004</v>
      </c>
      <c r="J9" s="5">
        <v>4</v>
      </c>
    </row>
    <row r="10" spans="1:10">
      <c r="A10" s="5" t="s">
        <v>90</v>
      </c>
      <c r="B10" s="5">
        <v>97</v>
      </c>
      <c r="C10" s="5">
        <v>79</v>
      </c>
      <c r="D10" s="5">
        <v>85</v>
      </c>
      <c r="E10" s="5">
        <v>74</v>
      </c>
      <c r="F10" s="5">
        <v>1.9</v>
      </c>
      <c r="G10" s="5">
        <v>1.9912000000000001</v>
      </c>
      <c r="H10" s="5">
        <v>0.94</v>
      </c>
      <c r="I10" s="5">
        <v>1.9031</v>
      </c>
      <c r="J10" s="5">
        <v>4</v>
      </c>
    </row>
    <row r="11" spans="1:10">
      <c r="A11" s="5" t="s">
        <v>89</v>
      </c>
      <c r="B11" s="5">
        <v>27</v>
      </c>
      <c r="C11" s="5">
        <v>24</v>
      </c>
      <c r="D11" s="5">
        <v>20</v>
      </c>
      <c r="E11" s="5">
        <v>19</v>
      </c>
      <c r="F11" s="5">
        <v>0.53</v>
      </c>
      <c r="G11" s="5">
        <v>1.4472</v>
      </c>
      <c r="H11" s="5">
        <v>0.28999999999999998</v>
      </c>
      <c r="I11" s="5">
        <v>1.3978999999999999</v>
      </c>
      <c r="J11" s="5">
        <v>4</v>
      </c>
    </row>
    <row r="12" spans="1:10">
      <c r="A12" s="9" t="s">
        <v>36</v>
      </c>
      <c r="B12" s="9">
        <v>2318</v>
      </c>
      <c r="C12" s="9">
        <v>1196</v>
      </c>
      <c r="D12" s="9">
        <v>2007</v>
      </c>
      <c r="E12" s="9">
        <v>1095</v>
      </c>
      <c r="F12" s="9">
        <v>45.45</v>
      </c>
      <c r="G12" s="9">
        <v>3.3653</v>
      </c>
      <c r="H12" s="9">
        <v>14.26</v>
      </c>
      <c r="I12" s="9">
        <v>3.0781000000000001</v>
      </c>
      <c r="J12" s="9">
        <v>4</v>
      </c>
    </row>
    <row r="13" spans="1:10">
      <c r="A13" s="9" t="s">
        <v>35</v>
      </c>
      <c r="B13" s="9">
        <v>3783</v>
      </c>
      <c r="C13" s="9">
        <v>1546</v>
      </c>
      <c r="D13" s="9">
        <v>3607</v>
      </c>
      <c r="E13" s="9">
        <v>1504</v>
      </c>
      <c r="F13" s="9">
        <v>74.180000000000007</v>
      </c>
      <c r="G13" s="9">
        <v>3.5779999999999998</v>
      </c>
      <c r="H13" s="9">
        <v>18.43</v>
      </c>
      <c r="I13" s="9">
        <v>3.1894999999999998</v>
      </c>
      <c r="J13" s="9">
        <v>3</v>
      </c>
    </row>
    <row r="14" spans="1:10">
      <c r="A14" s="9" t="s">
        <v>34</v>
      </c>
      <c r="B14" s="9">
        <v>2990</v>
      </c>
      <c r="C14" s="9">
        <v>1639</v>
      </c>
      <c r="D14" s="9">
        <v>2893</v>
      </c>
      <c r="E14" s="9">
        <v>1608</v>
      </c>
      <c r="F14" s="9">
        <v>58.63</v>
      </c>
      <c r="G14" s="9">
        <v>3.4758</v>
      </c>
      <c r="H14" s="9">
        <v>19.54</v>
      </c>
      <c r="I14" s="9">
        <v>3.2147999999999999</v>
      </c>
      <c r="J14" s="9">
        <v>5</v>
      </c>
    </row>
    <row r="15" spans="1:10">
      <c r="A15" s="9" t="s">
        <v>33</v>
      </c>
      <c r="B15" s="9">
        <v>14895</v>
      </c>
      <c r="C15" s="9">
        <v>5286</v>
      </c>
      <c r="D15" s="9">
        <v>14339</v>
      </c>
      <c r="E15" s="9">
        <v>5228</v>
      </c>
      <c r="F15" s="9">
        <v>292.06</v>
      </c>
      <c r="G15" s="9">
        <v>4.1730999999999998</v>
      </c>
      <c r="H15" s="9">
        <v>63.02</v>
      </c>
      <c r="I15" s="9">
        <v>3.7231999999999998</v>
      </c>
      <c r="J15" s="9">
        <v>4</v>
      </c>
    </row>
    <row r="16" spans="1:10">
      <c r="A16" s="9" t="s">
        <v>32</v>
      </c>
      <c r="B16" s="9">
        <v>4258</v>
      </c>
      <c r="C16" s="9">
        <v>1708</v>
      </c>
      <c r="D16" s="9">
        <v>3618</v>
      </c>
      <c r="E16" s="9">
        <v>1562</v>
      </c>
      <c r="F16" s="9">
        <v>83.49</v>
      </c>
      <c r="G16" s="9">
        <v>3.6293000000000002</v>
      </c>
      <c r="H16" s="9">
        <v>20.36</v>
      </c>
      <c r="I16" s="9">
        <v>3.2326999999999999</v>
      </c>
      <c r="J16" s="9">
        <v>4</v>
      </c>
    </row>
    <row r="17" spans="1:10">
      <c r="A17" t="s">
        <v>106</v>
      </c>
      <c r="B17">
        <v>16831</v>
      </c>
      <c r="C17">
        <v>5882</v>
      </c>
      <c r="D17">
        <v>11063</v>
      </c>
      <c r="E17">
        <v>4994</v>
      </c>
      <c r="F17" s="15">
        <f t="shared" ref="F17" si="0">B17/51</f>
        <v>330.01960784313724</v>
      </c>
      <c r="G17" s="16">
        <f t="shared" ref="G17" si="1">LOG10(B17+1)</f>
        <v>4.2261357224736447</v>
      </c>
      <c r="H17" s="15">
        <f t="shared" ref="H17" si="2">C17/83.88</f>
        <v>70.123986647591806</v>
      </c>
      <c r="I17" s="16">
        <f t="shared" ref="I17" si="3">LOG10(C17+1)</f>
        <v>3.7695988483874463</v>
      </c>
      <c r="J17" s="9">
        <v>5</v>
      </c>
    </row>
    <row r="18" spans="1:10">
      <c r="A18" s="9" t="s">
        <v>31</v>
      </c>
      <c r="B18" s="9">
        <v>14262</v>
      </c>
      <c r="C18" s="9">
        <v>5562</v>
      </c>
      <c r="D18" s="9">
        <v>13466</v>
      </c>
      <c r="E18" s="9">
        <v>5431</v>
      </c>
      <c r="F18" s="9">
        <v>279.64999999999998</v>
      </c>
      <c r="G18" s="9">
        <v>4.1542000000000003</v>
      </c>
      <c r="H18" s="9">
        <v>66.31</v>
      </c>
      <c r="I18" s="9">
        <v>3.7452999999999999</v>
      </c>
      <c r="J18" s="9">
        <v>4</v>
      </c>
    </row>
    <row r="19" spans="1:10">
      <c r="A19" s="9" t="s">
        <v>30</v>
      </c>
      <c r="B19" s="9">
        <v>117</v>
      </c>
      <c r="C19" s="9">
        <v>76</v>
      </c>
      <c r="D19" s="9">
        <v>113</v>
      </c>
      <c r="E19" s="9">
        <v>72</v>
      </c>
      <c r="F19" s="9">
        <v>2.29</v>
      </c>
      <c r="G19" s="9">
        <v>2.0718999999999999</v>
      </c>
      <c r="H19" s="9">
        <v>0.91</v>
      </c>
      <c r="I19" s="9">
        <v>1.8865000000000001</v>
      </c>
      <c r="J19" s="9">
        <v>4</v>
      </c>
    </row>
    <row r="20" spans="1:10">
      <c r="A20" s="9" t="s">
        <v>28</v>
      </c>
      <c r="B20" s="9">
        <v>388</v>
      </c>
      <c r="C20" s="9">
        <v>270</v>
      </c>
      <c r="D20" s="9">
        <v>342</v>
      </c>
      <c r="E20" s="9">
        <v>256</v>
      </c>
      <c r="F20" s="9">
        <v>7.61</v>
      </c>
      <c r="G20" s="9">
        <v>2.5899000000000001</v>
      </c>
      <c r="H20" s="9">
        <v>3.22</v>
      </c>
      <c r="I20" s="9">
        <v>2.4329999999999998</v>
      </c>
      <c r="J20" s="9">
        <v>5</v>
      </c>
    </row>
    <row r="21" spans="1:10">
      <c r="A21" s="9" t="s">
        <v>27</v>
      </c>
      <c r="B21" s="9">
        <v>3315</v>
      </c>
      <c r="C21" s="9">
        <v>1622</v>
      </c>
      <c r="D21" s="9">
        <v>3093</v>
      </c>
      <c r="E21" s="9">
        <v>1551</v>
      </c>
      <c r="F21" s="9">
        <v>65</v>
      </c>
      <c r="G21" s="9">
        <v>3.5206</v>
      </c>
      <c r="H21" s="9">
        <v>19.34</v>
      </c>
      <c r="I21" s="9">
        <v>3.2103000000000002</v>
      </c>
      <c r="J21" s="9">
        <v>4</v>
      </c>
    </row>
    <row r="22" spans="1:10">
      <c r="A22" s="7" t="s">
        <v>26</v>
      </c>
      <c r="B22" s="7">
        <v>4796</v>
      </c>
      <c r="C22" s="7">
        <v>2508</v>
      </c>
      <c r="D22" s="7">
        <v>4600</v>
      </c>
      <c r="E22" s="7">
        <v>2458</v>
      </c>
      <c r="F22" s="7">
        <v>94.04</v>
      </c>
      <c r="G22" s="7">
        <v>3.681</v>
      </c>
      <c r="H22" s="7">
        <v>29.9</v>
      </c>
      <c r="I22" s="7">
        <v>3.3995000000000002</v>
      </c>
      <c r="J22" s="7">
        <v>3</v>
      </c>
    </row>
    <row r="23" spans="1:10">
      <c r="A23" s="7" t="s">
        <v>25</v>
      </c>
      <c r="B23" s="7">
        <v>1052</v>
      </c>
      <c r="C23" s="7">
        <v>561</v>
      </c>
      <c r="D23" s="7">
        <v>913</v>
      </c>
      <c r="E23" s="7">
        <v>525</v>
      </c>
      <c r="F23" s="7">
        <v>20.63</v>
      </c>
      <c r="G23" s="7">
        <v>3.0224000000000002</v>
      </c>
      <c r="H23" s="7">
        <v>6.69</v>
      </c>
      <c r="I23" s="7">
        <v>2.7496999999999998</v>
      </c>
      <c r="J23" s="7">
        <v>3</v>
      </c>
    </row>
    <row r="24" spans="1:10">
      <c r="A24" s="7" t="s">
        <v>24</v>
      </c>
      <c r="B24" s="7">
        <v>94133</v>
      </c>
      <c r="C24" s="7">
        <v>8054</v>
      </c>
      <c r="D24" s="7">
        <v>84739</v>
      </c>
      <c r="E24" s="7">
        <v>7956</v>
      </c>
      <c r="F24" s="7">
        <v>1845.75</v>
      </c>
      <c r="G24" s="7">
        <v>4.9737</v>
      </c>
      <c r="H24" s="7">
        <v>96.02</v>
      </c>
      <c r="I24" s="7">
        <v>3.9060999999999999</v>
      </c>
      <c r="J24" s="7">
        <v>3</v>
      </c>
    </row>
    <row r="25" spans="1:10">
      <c r="A25" s="7" t="s">
        <v>23</v>
      </c>
      <c r="B25" s="7">
        <v>178</v>
      </c>
      <c r="C25" s="7">
        <v>139</v>
      </c>
      <c r="D25" s="7">
        <v>166</v>
      </c>
      <c r="E25" s="7">
        <v>135</v>
      </c>
      <c r="F25" s="7">
        <v>3.49</v>
      </c>
      <c r="G25" s="7">
        <v>2.2528999999999999</v>
      </c>
      <c r="H25" s="7">
        <v>1.66</v>
      </c>
      <c r="I25" s="7">
        <v>2.1461000000000001</v>
      </c>
      <c r="J25" s="7">
        <v>3</v>
      </c>
    </row>
    <row r="26" spans="1:10">
      <c r="A26" s="7" t="s">
        <v>22</v>
      </c>
      <c r="B26" s="7">
        <v>627</v>
      </c>
      <c r="C26" s="7">
        <v>366</v>
      </c>
      <c r="D26" s="7">
        <v>345</v>
      </c>
      <c r="E26" s="7">
        <v>265</v>
      </c>
      <c r="F26" s="7">
        <v>12.29</v>
      </c>
      <c r="G26" s="7">
        <v>2.798</v>
      </c>
      <c r="H26" s="7">
        <v>4.3600000000000003</v>
      </c>
      <c r="I26" s="7">
        <v>2.5647000000000002</v>
      </c>
      <c r="J26" s="7">
        <v>3</v>
      </c>
    </row>
    <row r="27" spans="1:10">
      <c r="A27" s="7" t="s">
        <v>21</v>
      </c>
      <c r="B27" s="7">
        <v>933</v>
      </c>
      <c r="C27" s="7">
        <v>357</v>
      </c>
      <c r="D27" s="7">
        <v>178</v>
      </c>
      <c r="E27" s="7">
        <v>156</v>
      </c>
      <c r="F27" s="7">
        <v>18.29</v>
      </c>
      <c r="G27" s="7">
        <v>2.9702999999999999</v>
      </c>
      <c r="H27" s="7">
        <v>4.26</v>
      </c>
      <c r="I27" s="7">
        <v>2.5539000000000001</v>
      </c>
      <c r="J27" s="7">
        <v>3</v>
      </c>
    </row>
    <row r="28" spans="1:10">
      <c r="A28" s="7" t="s">
        <v>20</v>
      </c>
      <c r="B28" s="7">
        <v>4296</v>
      </c>
      <c r="C28" s="7">
        <v>2870</v>
      </c>
      <c r="D28" s="7">
        <v>4154</v>
      </c>
      <c r="E28" s="7">
        <v>2808</v>
      </c>
      <c r="F28" s="7">
        <v>84.24</v>
      </c>
      <c r="G28" s="7">
        <v>3.6332</v>
      </c>
      <c r="H28" s="7">
        <v>34.22</v>
      </c>
      <c r="I28" s="7">
        <v>3.4580000000000002</v>
      </c>
      <c r="J28" s="7">
        <v>3</v>
      </c>
    </row>
    <row r="29" spans="1:10">
      <c r="A29" s="7" t="s">
        <v>19</v>
      </c>
      <c r="B29" s="7">
        <v>1663</v>
      </c>
      <c r="C29" s="7">
        <v>941</v>
      </c>
      <c r="D29" s="7">
        <v>1489</v>
      </c>
      <c r="E29" s="7">
        <v>893</v>
      </c>
      <c r="F29" s="7">
        <v>32.61</v>
      </c>
      <c r="G29" s="7">
        <v>3.2212000000000001</v>
      </c>
      <c r="H29" s="7">
        <v>11.22</v>
      </c>
      <c r="I29" s="7">
        <v>2.9741</v>
      </c>
      <c r="J29" s="7">
        <v>3</v>
      </c>
    </row>
    <row r="30" spans="1:10">
      <c r="A30" s="7" t="s">
        <v>17</v>
      </c>
      <c r="B30" s="7">
        <v>439</v>
      </c>
      <c r="C30" s="7">
        <v>280</v>
      </c>
      <c r="D30" s="7">
        <v>318</v>
      </c>
      <c r="E30" s="7">
        <v>255</v>
      </c>
      <c r="F30" s="7">
        <v>8.61</v>
      </c>
      <c r="G30" s="7">
        <v>2.6435</v>
      </c>
      <c r="H30" s="7">
        <v>3.34</v>
      </c>
      <c r="I30" s="7">
        <v>2.4487000000000001</v>
      </c>
      <c r="J30" s="7">
        <v>3</v>
      </c>
    </row>
    <row r="31" spans="1:10">
      <c r="A31" s="7" t="s">
        <v>16</v>
      </c>
      <c r="B31" s="7">
        <v>752</v>
      </c>
      <c r="C31" s="7">
        <v>480</v>
      </c>
      <c r="D31" s="7">
        <v>653</v>
      </c>
      <c r="E31" s="7">
        <v>440</v>
      </c>
      <c r="F31" s="7">
        <v>14.75</v>
      </c>
      <c r="G31" s="7">
        <v>2.8767999999999998</v>
      </c>
      <c r="H31" s="7">
        <v>5.72</v>
      </c>
      <c r="I31" s="7">
        <v>2.6821000000000002</v>
      </c>
      <c r="J31" s="7">
        <v>3</v>
      </c>
    </row>
    <row r="33" spans="10:10">
      <c r="J33" s="11"/>
    </row>
    <row r="34" spans="10:10">
      <c r="J34" s="11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U34"/>
  <sheetViews>
    <sheetView tabSelected="1" workbookViewId="0">
      <pane ySplit="1" topLeftCell="A2" activePane="bottomLeft" state="frozen"/>
      <selection pane="bottomLeft" activeCell="P26" sqref="P26"/>
    </sheetView>
  </sheetViews>
  <sheetFormatPr defaultColWidth="11" defaultRowHeight="15.75"/>
  <cols>
    <col min="2" max="2" width="7.625" customWidth="1"/>
    <col min="4" max="4" width="8.375" customWidth="1"/>
    <col min="5" max="5" width="8.125" customWidth="1"/>
    <col min="6" max="6" width="6.625" customWidth="1"/>
    <col min="7" max="7" width="8.875" customWidth="1"/>
    <col min="8" max="8" width="8.125" customWidth="1"/>
    <col min="9" max="9" width="8.5" customWidth="1"/>
    <col min="10" max="10" width="7.625" customWidth="1"/>
    <col min="11" max="11" width="6.625" customWidth="1"/>
    <col min="12" max="12" width="11.875" bestFit="1" customWidth="1"/>
    <col min="19" max="19" width="12.75" bestFit="1" customWidth="1"/>
    <col min="20" max="20" width="13.5" bestFit="1" customWidth="1"/>
    <col min="21" max="21" width="10.75" bestFit="1" customWidth="1"/>
  </cols>
  <sheetData>
    <row r="1" spans="1:21">
      <c r="A1" t="s">
        <v>73</v>
      </c>
      <c r="B1" t="s">
        <v>63</v>
      </c>
      <c r="C1" t="s">
        <v>64</v>
      </c>
      <c r="D1" t="s">
        <v>65</v>
      </c>
      <c r="E1" t="s">
        <v>66</v>
      </c>
      <c r="F1" t="s">
        <v>67</v>
      </c>
      <c r="G1" t="s">
        <v>68</v>
      </c>
      <c r="H1" t="s">
        <v>69</v>
      </c>
      <c r="I1" t="s">
        <v>70</v>
      </c>
      <c r="J1" t="s">
        <v>71</v>
      </c>
      <c r="K1" t="s">
        <v>72</v>
      </c>
      <c r="L1" s="17" t="s">
        <v>117</v>
      </c>
      <c r="M1" t="s">
        <v>85</v>
      </c>
      <c r="N1" t="s">
        <v>78</v>
      </c>
      <c r="O1" t="s">
        <v>79</v>
      </c>
      <c r="P1" t="s">
        <v>86</v>
      </c>
      <c r="Q1" t="s">
        <v>81</v>
      </c>
      <c r="R1" t="s">
        <v>82</v>
      </c>
      <c r="S1" t="s">
        <v>118</v>
      </c>
      <c r="T1" t="s">
        <v>119</v>
      </c>
      <c r="U1" t="s">
        <v>120</v>
      </c>
    </row>
    <row r="2" spans="1:21">
      <c r="A2" s="4" t="s">
        <v>76</v>
      </c>
      <c r="B2" s="5" t="s">
        <v>88</v>
      </c>
      <c r="C2" s="5">
        <v>225291</v>
      </c>
      <c r="D2" s="5">
        <v>8350</v>
      </c>
      <c r="E2" s="5">
        <v>121176</v>
      </c>
      <c r="F2" s="5">
        <v>8308</v>
      </c>
      <c r="G2" s="5">
        <v>4417.47</v>
      </c>
      <c r="H2" s="5">
        <v>5.3526999999999996</v>
      </c>
      <c r="I2" s="5">
        <v>99.55</v>
      </c>
      <c r="J2" s="5">
        <v>3.9217</v>
      </c>
      <c r="K2" s="5">
        <v>3</v>
      </c>
      <c r="L2" s="17">
        <v>35</v>
      </c>
      <c r="M2">
        <f t="shared" ref="M2:M31" si="0">IF(A2="Alternate",G2,"")</f>
        <v>4417.47</v>
      </c>
      <c r="N2" t="str">
        <f t="shared" ref="N2:N31" si="1">IF(A2="Dissimilar",G2,"")</f>
        <v/>
      </c>
      <c r="O2" t="str">
        <f t="shared" ref="O2:O31" si="2">IF(A2="Similar",G2,"")</f>
        <v/>
      </c>
      <c r="P2">
        <f>IF(A2="Alternate",J2,"")</f>
        <v>3.9217</v>
      </c>
      <c r="Q2" t="str">
        <f t="shared" ref="Q2:Q31" si="3">IF(A2="Dissimilar", I2,"")</f>
        <v/>
      </c>
      <c r="R2" t="str">
        <f t="shared" ref="R2:R31" si="4">IF(A2="Similar",I2,"")</f>
        <v/>
      </c>
      <c r="S2">
        <f>IF(A2="Alternate",L2,"")</f>
        <v>35</v>
      </c>
      <c r="T2" t="str">
        <f>IF(A2="Dissimilar",L2,"")</f>
        <v/>
      </c>
      <c r="U2" t="str">
        <f>IF(A2="Similar",L2,"")</f>
        <v/>
      </c>
    </row>
    <row r="3" spans="1:21">
      <c r="A3" s="4" t="s">
        <v>76</v>
      </c>
      <c r="B3" s="5" t="s">
        <v>94</v>
      </c>
      <c r="C3" s="5">
        <v>43605</v>
      </c>
      <c r="D3" s="5">
        <v>7619</v>
      </c>
      <c r="E3" s="5">
        <v>41204</v>
      </c>
      <c r="F3" s="5">
        <v>7559</v>
      </c>
      <c r="G3" s="5">
        <v>855</v>
      </c>
      <c r="H3" s="5">
        <v>4.6395</v>
      </c>
      <c r="I3" s="5">
        <v>90.83</v>
      </c>
      <c r="J3" s="5">
        <v>3.8820000000000001</v>
      </c>
      <c r="K3" s="5">
        <v>4</v>
      </c>
      <c r="L3" s="17">
        <v>23</v>
      </c>
      <c r="M3">
        <f t="shared" si="0"/>
        <v>855</v>
      </c>
      <c r="N3" t="str">
        <f t="shared" si="1"/>
        <v/>
      </c>
      <c r="O3" t="str">
        <f t="shared" si="2"/>
        <v/>
      </c>
      <c r="P3">
        <f t="shared" ref="P3:P11" si="5">IF(A3="Alternate",J3,"")</f>
        <v>3.8820000000000001</v>
      </c>
      <c r="Q3" t="str">
        <f t="shared" si="3"/>
        <v/>
      </c>
      <c r="R3" t="str">
        <f t="shared" si="4"/>
        <v/>
      </c>
      <c r="S3">
        <f t="shared" ref="S3:S31" si="6">IF(A3="Alternate",L3,"")</f>
        <v>23</v>
      </c>
      <c r="T3" t="str">
        <f t="shared" ref="T3:T31" si="7">IF(A3="Dissimilar",L3,"")</f>
        <v/>
      </c>
      <c r="U3" t="str">
        <f t="shared" ref="U3:U31" si="8">IF(A3="Similar",L3,"")</f>
        <v/>
      </c>
    </row>
    <row r="4" spans="1:21">
      <c r="A4" s="4" t="s">
        <v>76</v>
      </c>
      <c r="B4" s="5" t="s">
        <v>12</v>
      </c>
      <c r="C4" s="5">
        <v>4995</v>
      </c>
      <c r="D4" s="5">
        <v>2568</v>
      </c>
      <c r="E4" s="5">
        <v>4767</v>
      </c>
      <c r="F4" s="5">
        <v>2516</v>
      </c>
      <c r="G4" s="5">
        <v>97.94</v>
      </c>
      <c r="H4" s="5">
        <v>3.6985999999999999</v>
      </c>
      <c r="I4" s="5">
        <v>30.62</v>
      </c>
      <c r="J4" s="5">
        <v>3.4098000000000002</v>
      </c>
      <c r="K4" s="5">
        <v>4</v>
      </c>
      <c r="L4" s="17">
        <v>32</v>
      </c>
      <c r="M4">
        <f t="shared" si="0"/>
        <v>97.94</v>
      </c>
      <c r="N4" t="str">
        <f t="shared" si="1"/>
        <v/>
      </c>
      <c r="O4" t="str">
        <f t="shared" si="2"/>
        <v/>
      </c>
      <c r="P4">
        <f t="shared" si="5"/>
        <v>3.4098000000000002</v>
      </c>
      <c r="Q4" t="str">
        <f t="shared" si="3"/>
        <v/>
      </c>
      <c r="R4" t="str">
        <f t="shared" si="4"/>
        <v/>
      </c>
      <c r="S4">
        <f t="shared" si="6"/>
        <v>32</v>
      </c>
      <c r="T4" t="str">
        <f t="shared" si="7"/>
        <v/>
      </c>
      <c r="U4" t="str">
        <f t="shared" si="8"/>
        <v/>
      </c>
    </row>
    <row r="5" spans="1:21">
      <c r="A5" s="4" t="s">
        <v>76</v>
      </c>
      <c r="B5" s="5" t="s">
        <v>87</v>
      </c>
      <c r="C5" s="5">
        <v>2600</v>
      </c>
      <c r="D5" s="5">
        <v>1643</v>
      </c>
      <c r="E5" s="5">
        <v>2388</v>
      </c>
      <c r="F5" s="5">
        <v>1543</v>
      </c>
      <c r="G5" s="5">
        <v>50.98</v>
      </c>
      <c r="H5" s="5">
        <v>3.4150999999999998</v>
      </c>
      <c r="I5" s="5">
        <v>19.59</v>
      </c>
      <c r="J5" s="5">
        <v>3.2159</v>
      </c>
      <c r="K5" s="5">
        <v>3</v>
      </c>
      <c r="L5" s="17">
        <v>14</v>
      </c>
      <c r="M5">
        <f t="shared" si="0"/>
        <v>50.98</v>
      </c>
      <c r="N5" t="str">
        <f t="shared" si="1"/>
        <v/>
      </c>
      <c r="O5" t="str">
        <f t="shared" si="2"/>
        <v/>
      </c>
      <c r="P5">
        <f t="shared" si="5"/>
        <v>3.2159</v>
      </c>
      <c r="Q5" t="str">
        <f t="shared" si="3"/>
        <v/>
      </c>
      <c r="R5" t="str">
        <f t="shared" si="4"/>
        <v/>
      </c>
      <c r="S5">
        <f t="shared" si="6"/>
        <v>14</v>
      </c>
      <c r="T5" t="str">
        <f t="shared" si="7"/>
        <v/>
      </c>
      <c r="U5" t="str">
        <f t="shared" si="8"/>
        <v/>
      </c>
    </row>
    <row r="6" spans="1:21">
      <c r="A6" s="4" t="s">
        <v>76</v>
      </c>
      <c r="B6" s="5" t="s">
        <v>13</v>
      </c>
      <c r="C6" s="5">
        <v>2000</v>
      </c>
      <c r="D6" s="5">
        <v>1405</v>
      </c>
      <c r="E6" s="5">
        <v>1851</v>
      </c>
      <c r="F6" s="5">
        <v>1352</v>
      </c>
      <c r="G6" s="5">
        <v>39.22</v>
      </c>
      <c r="H6" s="5">
        <v>3.3012000000000001</v>
      </c>
      <c r="I6" s="5">
        <v>16.75</v>
      </c>
      <c r="J6" s="5">
        <v>3.1480000000000001</v>
      </c>
      <c r="K6" s="5">
        <v>3</v>
      </c>
      <c r="L6" s="17">
        <v>29</v>
      </c>
      <c r="M6">
        <f t="shared" si="0"/>
        <v>39.22</v>
      </c>
      <c r="N6" t="str">
        <f t="shared" si="1"/>
        <v/>
      </c>
      <c r="O6" t="str">
        <f t="shared" si="2"/>
        <v/>
      </c>
      <c r="P6">
        <f t="shared" si="5"/>
        <v>3.1480000000000001</v>
      </c>
      <c r="Q6" t="str">
        <f t="shared" si="3"/>
        <v/>
      </c>
      <c r="R6" t="str">
        <f t="shared" si="4"/>
        <v/>
      </c>
      <c r="S6">
        <f t="shared" si="6"/>
        <v>29</v>
      </c>
      <c r="T6" t="str">
        <f t="shared" si="7"/>
        <v/>
      </c>
      <c r="U6" t="str">
        <f t="shared" si="8"/>
        <v/>
      </c>
    </row>
    <row r="7" spans="1:21">
      <c r="A7" s="4" t="s">
        <v>76</v>
      </c>
      <c r="B7" s="5" t="s">
        <v>91</v>
      </c>
      <c r="C7" s="5">
        <v>1149</v>
      </c>
      <c r="D7" s="5">
        <v>763</v>
      </c>
      <c r="E7" s="5">
        <v>1084</v>
      </c>
      <c r="F7" s="5">
        <v>736</v>
      </c>
      <c r="G7" s="5">
        <v>22.53</v>
      </c>
      <c r="H7" s="5">
        <v>3.0607000000000002</v>
      </c>
      <c r="I7" s="5">
        <v>9.1</v>
      </c>
      <c r="J7" s="5">
        <v>2.8831000000000002</v>
      </c>
      <c r="K7" s="5">
        <v>3</v>
      </c>
      <c r="L7" s="17">
        <v>34</v>
      </c>
      <c r="M7">
        <f t="shared" si="0"/>
        <v>22.53</v>
      </c>
      <c r="N7" t="str">
        <f t="shared" si="1"/>
        <v/>
      </c>
      <c r="O7" t="str">
        <f t="shared" si="2"/>
        <v/>
      </c>
      <c r="P7">
        <f t="shared" si="5"/>
        <v>2.8831000000000002</v>
      </c>
      <c r="Q7" t="str">
        <f t="shared" si="3"/>
        <v/>
      </c>
      <c r="R7" t="str">
        <f t="shared" si="4"/>
        <v/>
      </c>
      <c r="S7">
        <f t="shared" si="6"/>
        <v>34</v>
      </c>
      <c r="T7" t="str">
        <f t="shared" si="7"/>
        <v/>
      </c>
      <c r="U7" t="str">
        <f t="shared" si="8"/>
        <v/>
      </c>
    </row>
    <row r="8" spans="1:21">
      <c r="A8" s="4" t="s">
        <v>76</v>
      </c>
      <c r="B8" s="5" t="s">
        <v>93</v>
      </c>
      <c r="C8" s="5">
        <v>796</v>
      </c>
      <c r="D8" s="5">
        <v>552</v>
      </c>
      <c r="E8" s="5">
        <v>728</v>
      </c>
      <c r="F8" s="5">
        <v>514</v>
      </c>
      <c r="G8" s="5">
        <v>15.61</v>
      </c>
      <c r="H8" s="5">
        <v>2.9015</v>
      </c>
      <c r="I8" s="5">
        <v>6.58</v>
      </c>
      <c r="J8" s="5">
        <v>2.7427000000000001</v>
      </c>
      <c r="K8" s="5">
        <v>4</v>
      </c>
      <c r="L8" s="17">
        <v>27</v>
      </c>
      <c r="M8">
        <f t="shared" si="0"/>
        <v>15.61</v>
      </c>
      <c r="N8" t="str">
        <f t="shared" si="1"/>
        <v/>
      </c>
      <c r="O8" t="str">
        <f t="shared" si="2"/>
        <v/>
      </c>
      <c r="P8">
        <f t="shared" si="5"/>
        <v>2.7427000000000001</v>
      </c>
      <c r="Q8" t="str">
        <f t="shared" si="3"/>
        <v/>
      </c>
      <c r="R8" t="str">
        <f t="shared" si="4"/>
        <v/>
      </c>
      <c r="S8">
        <f t="shared" si="6"/>
        <v>27</v>
      </c>
      <c r="T8" t="str">
        <f t="shared" si="7"/>
        <v/>
      </c>
      <c r="U8" t="str">
        <f t="shared" si="8"/>
        <v/>
      </c>
    </row>
    <row r="9" spans="1:21">
      <c r="A9" s="4" t="s">
        <v>76</v>
      </c>
      <c r="B9" s="5" t="s">
        <v>92</v>
      </c>
      <c r="C9" s="5">
        <v>173</v>
      </c>
      <c r="D9" s="5">
        <v>125</v>
      </c>
      <c r="E9" s="5">
        <v>172</v>
      </c>
      <c r="F9" s="5">
        <v>124</v>
      </c>
      <c r="G9" s="5">
        <v>3.39</v>
      </c>
      <c r="H9" s="5">
        <v>2.2404999999999999</v>
      </c>
      <c r="I9" s="5">
        <v>1.49</v>
      </c>
      <c r="J9" s="5">
        <v>2.1004</v>
      </c>
      <c r="K9" s="5">
        <v>4</v>
      </c>
      <c r="L9" s="17">
        <v>28</v>
      </c>
      <c r="M9">
        <f t="shared" si="0"/>
        <v>3.39</v>
      </c>
      <c r="N9" t="str">
        <f t="shared" si="1"/>
        <v/>
      </c>
      <c r="O9" t="str">
        <f t="shared" si="2"/>
        <v/>
      </c>
      <c r="P9">
        <f t="shared" si="5"/>
        <v>2.1004</v>
      </c>
      <c r="Q9" t="str">
        <f t="shared" si="3"/>
        <v/>
      </c>
      <c r="R9" t="str">
        <f t="shared" si="4"/>
        <v/>
      </c>
      <c r="S9">
        <f t="shared" si="6"/>
        <v>28</v>
      </c>
      <c r="T9" t="str">
        <f t="shared" si="7"/>
        <v/>
      </c>
      <c r="U9" t="str">
        <f t="shared" si="8"/>
        <v/>
      </c>
    </row>
    <row r="10" spans="1:21">
      <c r="A10" s="4" t="s">
        <v>76</v>
      </c>
      <c r="B10" s="5" t="s">
        <v>90</v>
      </c>
      <c r="C10" s="5">
        <v>97</v>
      </c>
      <c r="D10" s="5">
        <v>79</v>
      </c>
      <c r="E10" s="5">
        <v>85</v>
      </c>
      <c r="F10" s="5">
        <v>74</v>
      </c>
      <c r="G10" s="5">
        <v>1.9</v>
      </c>
      <c r="H10" s="5">
        <v>1.9912000000000001</v>
      </c>
      <c r="I10" s="5">
        <v>0.94</v>
      </c>
      <c r="J10" s="5">
        <v>1.9031</v>
      </c>
      <c r="K10" s="5">
        <v>4</v>
      </c>
      <c r="L10" s="17">
        <v>28</v>
      </c>
      <c r="M10">
        <f t="shared" si="0"/>
        <v>1.9</v>
      </c>
      <c r="N10" t="str">
        <f t="shared" si="1"/>
        <v/>
      </c>
      <c r="O10" t="str">
        <f t="shared" si="2"/>
        <v/>
      </c>
      <c r="P10">
        <f t="shared" si="5"/>
        <v>1.9031</v>
      </c>
      <c r="Q10" t="str">
        <f t="shared" si="3"/>
        <v/>
      </c>
      <c r="R10" t="str">
        <f t="shared" si="4"/>
        <v/>
      </c>
      <c r="S10">
        <f t="shared" si="6"/>
        <v>28</v>
      </c>
      <c r="T10" t="str">
        <f t="shared" si="7"/>
        <v/>
      </c>
      <c r="U10" t="str">
        <f t="shared" si="8"/>
        <v/>
      </c>
    </row>
    <row r="11" spans="1:21">
      <c r="A11" s="4" t="s">
        <v>76</v>
      </c>
      <c r="B11" s="5" t="s">
        <v>89</v>
      </c>
      <c r="C11" s="5">
        <v>27</v>
      </c>
      <c r="D11" s="5">
        <v>24</v>
      </c>
      <c r="E11" s="5">
        <v>20</v>
      </c>
      <c r="F11" s="5">
        <v>19</v>
      </c>
      <c r="G11" s="5">
        <v>0.53</v>
      </c>
      <c r="H11" s="5">
        <v>1.4472</v>
      </c>
      <c r="I11" s="5">
        <v>0.28999999999999998</v>
      </c>
      <c r="J11" s="5">
        <v>1.3978999999999999</v>
      </c>
      <c r="K11" s="5">
        <v>4</v>
      </c>
      <c r="L11" s="17">
        <v>8</v>
      </c>
      <c r="M11">
        <f t="shared" si="0"/>
        <v>0.53</v>
      </c>
      <c r="N11" t="str">
        <f t="shared" si="1"/>
        <v/>
      </c>
      <c r="O11" t="str">
        <f t="shared" si="2"/>
        <v/>
      </c>
      <c r="P11">
        <f t="shared" si="5"/>
        <v>1.3978999999999999</v>
      </c>
      <c r="Q11" t="str">
        <f t="shared" si="3"/>
        <v/>
      </c>
      <c r="R11" t="str">
        <f t="shared" si="4"/>
        <v/>
      </c>
      <c r="S11">
        <f t="shared" si="6"/>
        <v>8</v>
      </c>
      <c r="T11" t="str">
        <f t="shared" si="7"/>
        <v/>
      </c>
      <c r="U11" t="str">
        <f t="shared" si="8"/>
        <v/>
      </c>
    </row>
    <row r="12" spans="1:21">
      <c r="A12" s="8" t="s">
        <v>75</v>
      </c>
      <c r="B12" s="9" t="s">
        <v>36</v>
      </c>
      <c r="C12" s="9">
        <v>2318</v>
      </c>
      <c r="D12" s="9">
        <v>1196</v>
      </c>
      <c r="E12" s="9">
        <v>2007</v>
      </c>
      <c r="F12" s="9">
        <v>1095</v>
      </c>
      <c r="G12" s="9">
        <v>45.45</v>
      </c>
      <c r="H12" s="9">
        <v>3.3653</v>
      </c>
      <c r="I12" s="9">
        <v>14.26</v>
      </c>
      <c r="J12" s="9">
        <v>3.0781000000000001</v>
      </c>
      <c r="K12" s="9">
        <v>4</v>
      </c>
      <c r="L12" s="17">
        <v>22</v>
      </c>
      <c r="M12" t="str">
        <f t="shared" si="0"/>
        <v/>
      </c>
      <c r="N12">
        <f t="shared" si="1"/>
        <v>45.45</v>
      </c>
      <c r="O12" t="str">
        <f t="shared" si="2"/>
        <v/>
      </c>
      <c r="P12" t="str">
        <f t="shared" ref="P3:P31" si="9">IF(A12="Alternate",I12,"")</f>
        <v/>
      </c>
      <c r="Q12">
        <f>IF(A12="Dissimilar", J12,"")</f>
        <v>3.0781000000000001</v>
      </c>
      <c r="R12" t="str">
        <f t="shared" si="4"/>
        <v/>
      </c>
      <c r="S12" t="str">
        <f t="shared" si="6"/>
        <v/>
      </c>
      <c r="T12">
        <f t="shared" si="7"/>
        <v>22</v>
      </c>
      <c r="U12" t="str">
        <f t="shared" si="8"/>
        <v/>
      </c>
    </row>
    <row r="13" spans="1:21">
      <c r="A13" s="8" t="s">
        <v>75</v>
      </c>
      <c r="B13" s="9" t="s">
        <v>35</v>
      </c>
      <c r="C13" s="9">
        <v>3783</v>
      </c>
      <c r="D13" s="9">
        <v>1546</v>
      </c>
      <c r="E13" s="9">
        <v>3607</v>
      </c>
      <c r="F13" s="9">
        <v>1504</v>
      </c>
      <c r="G13" s="9">
        <v>74.180000000000007</v>
      </c>
      <c r="H13" s="9">
        <v>3.5779999999999998</v>
      </c>
      <c r="I13" s="9">
        <v>18.43</v>
      </c>
      <c r="J13" s="9">
        <v>3.1894999999999998</v>
      </c>
      <c r="K13" s="9">
        <v>3</v>
      </c>
      <c r="L13" s="17">
        <v>20</v>
      </c>
      <c r="M13" t="str">
        <f t="shared" si="0"/>
        <v/>
      </c>
      <c r="N13">
        <f t="shared" si="1"/>
        <v>74.180000000000007</v>
      </c>
      <c r="O13" t="str">
        <f t="shared" si="2"/>
        <v/>
      </c>
      <c r="P13" t="str">
        <f t="shared" si="9"/>
        <v/>
      </c>
      <c r="Q13">
        <f t="shared" ref="Q13:Q21" si="10">IF(A13="Dissimilar", J13,"")</f>
        <v>3.1894999999999998</v>
      </c>
      <c r="R13" t="str">
        <f t="shared" si="4"/>
        <v/>
      </c>
      <c r="S13" t="str">
        <f t="shared" si="6"/>
        <v/>
      </c>
      <c r="T13">
        <f t="shared" si="7"/>
        <v>20</v>
      </c>
      <c r="U13" t="str">
        <f t="shared" si="8"/>
        <v/>
      </c>
    </row>
    <row r="14" spans="1:21">
      <c r="A14" s="8" t="s">
        <v>75</v>
      </c>
      <c r="B14" s="9" t="s">
        <v>34</v>
      </c>
      <c r="C14" s="9">
        <v>2990</v>
      </c>
      <c r="D14" s="9">
        <v>1639</v>
      </c>
      <c r="E14" s="9">
        <v>2893</v>
      </c>
      <c r="F14" s="9">
        <v>1608</v>
      </c>
      <c r="G14" s="9">
        <v>58.63</v>
      </c>
      <c r="H14" s="9">
        <v>3.4758</v>
      </c>
      <c r="I14" s="9">
        <v>19.54</v>
      </c>
      <c r="J14" s="9">
        <v>3.2147999999999999</v>
      </c>
      <c r="K14" s="9">
        <v>5</v>
      </c>
      <c r="L14" s="9"/>
      <c r="M14" t="str">
        <f t="shared" si="0"/>
        <v/>
      </c>
      <c r="N14">
        <f t="shared" si="1"/>
        <v>58.63</v>
      </c>
      <c r="O14" t="str">
        <f t="shared" si="2"/>
        <v/>
      </c>
      <c r="P14" t="str">
        <f t="shared" si="9"/>
        <v/>
      </c>
      <c r="Q14">
        <f t="shared" si="10"/>
        <v>3.2147999999999999</v>
      </c>
      <c r="R14" t="str">
        <f t="shared" si="4"/>
        <v/>
      </c>
      <c r="S14" t="str">
        <f t="shared" si="6"/>
        <v/>
      </c>
      <c r="T14">
        <f t="shared" si="7"/>
        <v>0</v>
      </c>
      <c r="U14" t="str">
        <f t="shared" si="8"/>
        <v/>
      </c>
    </row>
    <row r="15" spans="1:21">
      <c r="A15" s="8" t="s">
        <v>75</v>
      </c>
      <c r="B15" s="9" t="s">
        <v>33</v>
      </c>
      <c r="C15" s="9">
        <v>14895</v>
      </c>
      <c r="D15" s="9">
        <v>5286</v>
      </c>
      <c r="E15" s="9">
        <v>14339</v>
      </c>
      <c r="F15" s="9">
        <v>5228</v>
      </c>
      <c r="G15" s="9">
        <v>292.06</v>
      </c>
      <c r="H15" s="9">
        <v>4.1730999999999998</v>
      </c>
      <c r="I15" s="9">
        <v>63.02</v>
      </c>
      <c r="J15" s="9">
        <v>3.7231999999999998</v>
      </c>
      <c r="K15" s="9">
        <v>4</v>
      </c>
      <c r="L15" s="9"/>
      <c r="M15" t="str">
        <f t="shared" si="0"/>
        <v/>
      </c>
      <c r="N15">
        <f t="shared" si="1"/>
        <v>292.06</v>
      </c>
      <c r="O15" t="str">
        <f t="shared" si="2"/>
        <v/>
      </c>
      <c r="P15" t="str">
        <f t="shared" si="9"/>
        <v/>
      </c>
      <c r="Q15">
        <f t="shared" si="10"/>
        <v>3.7231999999999998</v>
      </c>
      <c r="R15" t="str">
        <f t="shared" si="4"/>
        <v/>
      </c>
      <c r="S15" t="str">
        <f t="shared" si="6"/>
        <v/>
      </c>
      <c r="T15">
        <f t="shared" si="7"/>
        <v>0</v>
      </c>
      <c r="U15" t="str">
        <f t="shared" si="8"/>
        <v/>
      </c>
    </row>
    <row r="16" spans="1:21">
      <c r="A16" s="8" t="s">
        <v>75</v>
      </c>
      <c r="B16" s="9" t="s">
        <v>32</v>
      </c>
      <c r="C16" s="9">
        <v>4258</v>
      </c>
      <c r="D16" s="9">
        <v>1708</v>
      </c>
      <c r="E16" s="9">
        <v>3618</v>
      </c>
      <c r="F16" s="9">
        <v>1562</v>
      </c>
      <c r="G16" s="9">
        <v>83.49</v>
      </c>
      <c r="H16" s="9">
        <v>3.6293000000000002</v>
      </c>
      <c r="I16" s="9">
        <v>20.36</v>
      </c>
      <c r="J16" s="9">
        <v>3.2326999999999999</v>
      </c>
      <c r="K16" s="9">
        <v>4</v>
      </c>
      <c r="L16" s="17">
        <v>13</v>
      </c>
      <c r="M16" t="str">
        <f t="shared" si="0"/>
        <v/>
      </c>
      <c r="N16">
        <f t="shared" si="1"/>
        <v>83.49</v>
      </c>
      <c r="O16" t="str">
        <f t="shared" si="2"/>
        <v/>
      </c>
      <c r="P16" t="str">
        <f t="shared" si="9"/>
        <v/>
      </c>
      <c r="Q16">
        <f t="shared" si="10"/>
        <v>3.2326999999999999</v>
      </c>
      <c r="R16" t="str">
        <f t="shared" si="4"/>
        <v/>
      </c>
      <c r="S16" t="str">
        <f t="shared" si="6"/>
        <v/>
      </c>
      <c r="T16">
        <f t="shared" si="7"/>
        <v>13</v>
      </c>
      <c r="U16" t="str">
        <f t="shared" si="8"/>
        <v/>
      </c>
    </row>
    <row r="17" spans="1:21">
      <c r="A17" s="8" t="s">
        <v>75</v>
      </c>
      <c r="B17" t="s">
        <v>106</v>
      </c>
      <c r="C17">
        <v>16831</v>
      </c>
      <c r="D17">
        <v>5882</v>
      </c>
      <c r="E17">
        <v>11063</v>
      </c>
      <c r="F17">
        <v>4994</v>
      </c>
      <c r="G17" s="15">
        <f t="shared" ref="G17" si="11">C17/51</f>
        <v>330.01960784313724</v>
      </c>
      <c r="H17" s="16">
        <f t="shared" ref="H17" si="12">LOG10(C17+1)</f>
        <v>4.2261357224736447</v>
      </c>
      <c r="I17" s="15">
        <f t="shared" ref="I17" si="13">D17/83.88</f>
        <v>70.123986647591806</v>
      </c>
      <c r="J17" s="16">
        <f t="shared" ref="J17" si="14">LOG10(D17+1)</f>
        <v>3.7695988483874463</v>
      </c>
      <c r="K17" s="9">
        <v>5</v>
      </c>
      <c r="L17" s="17">
        <v>5</v>
      </c>
      <c r="M17" t="str">
        <f t="shared" si="0"/>
        <v/>
      </c>
      <c r="N17">
        <f t="shared" si="1"/>
        <v>330.01960784313724</v>
      </c>
      <c r="O17" t="str">
        <f t="shared" si="2"/>
        <v/>
      </c>
      <c r="P17" t="str">
        <f t="shared" si="9"/>
        <v/>
      </c>
      <c r="Q17">
        <f t="shared" si="10"/>
        <v>3.7695988483874463</v>
      </c>
      <c r="R17" t="str">
        <f t="shared" si="4"/>
        <v/>
      </c>
      <c r="S17" t="str">
        <f t="shared" si="6"/>
        <v/>
      </c>
      <c r="T17">
        <f t="shared" si="7"/>
        <v>5</v>
      </c>
      <c r="U17" t="str">
        <f t="shared" si="8"/>
        <v/>
      </c>
    </row>
    <row r="18" spans="1:21">
      <c r="A18" s="8" t="s">
        <v>75</v>
      </c>
      <c r="B18" s="9" t="s">
        <v>31</v>
      </c>
      <c r="C18" s="9">
        <v>14262</v>
      </c>
      <c r="D18" s="9">
        <v>5562</v>
      </c>
      <c r="E18" s="9">
        <v>13466</v>
      </c>
      <c r="F18" s="9">
        <v>5431</v>
      </c>
      <c r="G18" s="9">
        <v>279.64999999999998</v>
      </c>
      <c r="H18" s="9">
        <v>4.1542000000000003</v>
      </c>
      <c r="I18" s="9">
        <v>66.31</v>
      </c>
      <c r="J18" s="9">
        <v>3.7452999999999999</v>
      </c>
      <c r="K18" s="9">
        <v>4</v>
      </c>
      <c r="L18" s="9"/>
      <c r="M18" t="str">
        <f t="shared" si="0"/>
        <v/>
      </c>
      <c r="N18">
        <f t="shared" si="1"/>
        <v>279.64999999999998</v>
      </c>
      <c r="O18" t="str">
        <f t="shared" si="2"/>
        <v/>
      </c>
      <c r="P18" t="str">
        <f t="shared" si="9"/>
        <v/>
      </c>
      <c r="Q18">
        <f t="shared" si="10"/>
        <v>3.7452999999999999</v>
      </c>
      <c r="R18" t="str">
        <f t="shared" si="4"/>
        <v/>
      </c>
      <c r="S18" t="str">
        <f t="shared" si="6"/>
        <v/>
      </c>
      <c r="T18">
        <f t="shared" si="7"/>
        <v>0</v>
      </c>
      <c r="U18" t="str">
        <f t="shared" si="8"/>
        <v/>
      </c>
    </row>
    <row r="19" spans="1:21">
      <c r="A19" s="8" t="s">
        <v>75</v>
      </c>
      <c r="B19" s="9" t="s">
        <v>30</v>
      </c>
      <c r="C19" s="9">
        <v>117</v>
      </c>
      <c r="D19" s="9">
        <v>76</v>
      </c>
      <c r="E19" s="9">
        <v>113</v>
      </c>
      <c r="F19" s="9">
        <v>72</v>
      </c>
      <c r="G19" s="9">
        <v>2.29</v>
      </c>
      <c r="H19" s="9">
        <v>2.0718999999999999</v>
      </c>
      <c r="I19" s="9">
        <v>0.91</v>
      </c>
      <c r="J19" s="9">
        <v>1.8865000000000001</v>
      </c>
      <c r="K19" s="9">
        <v>4</v>
      </c>
      <c r="L19" s="17">
        <v>20</v>
      </c>
      <c r="M19" t="str">
        <f t="shared" si="0"/>
        <v/>
      </c>
      <c r="N19">
        <f t="shared" si="1"/>
        <v>2.29</v>
      </c>
      <c r="O19" t="str">
        <f t="shared" si="2"/>
        <v/>
      </c>
      <c r="P19" t="str">
        <f t="shared" si="9"/>
        <v/>
      </c>
      <c r="Q19">
        <f t="shared" si="10"/>
        <v>1.8865000000000001</v>
      </c>
      <c r="R19" t="str">
        <f t="shared" si="4"/>
        <v/>
      </c>
      <c r="S19" t="str">
        <f t="shared" si="6"/>
        <v/>
      </c>
      <c r="T19">
        <f t="shared" si="7"/>
        <v>20</v>
      </c>
      <c r="U19" t="str">
        <f t="shared" si="8"/>
        <v/>
      </c>
    </row>
    <row r="20" spans="1:21">
      <c r="A20" s="8" t="s">
        <v>75</v>
      </c>
      <c r="B20" s="9" t="s">
        <v>28</v>
      </c>
      <c r="C20" s="9">
        <v>388</v>
      </c>
      <c r="D20" s="9">
        <v>270</v>
      </c>
      <c r="E20" s="9">
        <v>342</v>
      </c>
      <c r="F20" s="9">
        <v>256</v>
      </c>
      <c r="G20" s="9">
        <v>7.61</v>
      </c>
      <c r="H20" s="9">
        <v>2.5899000000000001</v>
      </c>
      <c r="I20" s="9">
        <v>3.22</v>
      </c>
      <c r="J20" s="9">
        <v>2.4329999999999998</v>
      </c>
      <c r="K20" s="9">
        <v>5</v>
      </c>
      <c r="L20" s="9"/>
      <c r="M20" t="str">
        <f t="shared" si="0"/>
        <v/>
      </c>
      <c r="N20">
        <f t="shared" si="1"/>
        <v>7.61</v>
      </c>
      <c r="O20" t="str">
        <f t="shared" si="2"/>
        <v/>
      </c>
      <c r="P20" t="str">
        <f t="shared" si="9"/>
        <v/>
      </c>
      <c r="Q20">
        <f t="shared" si="10"/>
        <v>2.4329999999999998</v>
      </c>
      <c r="R20" t="str">
        <f t="shared" si="4"/>
        <v/>
      </c>
      <c r="S20" t="str">
        <f t="shared" si="6"/>
        <v/>
      </c>
      <c r="T20">
        <f t="shared" si="7"/>
        <v>0</v>
      </c>
      <c r="U20" t="str">
        <f t="shared" si="8"/>
        <v/>
      </c>
    </row>
    <row r="21" spans="1:21">
      <c r="A21" s="8" t="s">
        <v>75</v>
      </c>
      <c r="B21" s="9" t="s">
        <v>27</v>
      </c>
      <c r="C21" s="9">
        <v>3315</v>
      </c>
      <c r="D21" s="9">
        <v>1622</v>
      </c>
      <c r="E21" s="9">
        <v>3093</v>
      </c>
      <c r="F21" s="9">
        <v>1551</v>
      </c>
      <c r="G21" s="9">
        <v>65</v>
      </c>
      <c r="H21" s="9">
        <v>3.5206</v>
      </c>
      <c r="I21" s="9">
        <v>19.34</v>
      </c>
      <c r="J21" s="9">
        <v>3.2103000000000002</v>
      </c>
      <c r="K21" s="9">
        <v>4</v>
      </c>
      <c r="L21" s="9"/>
      <c r="M21" t="str">
        <f t="shared" si="0"/>
        <v/>
      </c>
      <c r="N21">
        <f t="shared" si="1"/>
        <v>65</v>
      </c>
      <c r="O21" t="str">
        <f t="shared" si="2"/>
        <v/>
      </c>
      <c r="P21" t="str">
        <f t="shared" si="9"/>
        <v/>
      </c>
      <c r="Q21">
        <f t="shared" si="10"/>
        <v>3.2103000000000002</v>
      </c>
      <c r="R21" t="str">
        <f t="shared" si="4"/>
        <v/>
      </c>
      <c r="S21" t="str">
        <f t="shared" si="6"/>
        <v/>
      </c>
      <c r="T21">
        <f t="shared" si="7"/>
        <v>0</v>
      </c>
      <c r="U21" t="str">
        <f t="shared" si="8"/>
        <v/>
      </c>
    </row>
    <row r="22" spans="1:21">
      <c r="A22" s="6" t="s">
        <v>74</v>
      </c>
      <c r="B22" s="7" t="s">
        <v>26</v>
      </c>
      <c r="C22" s="7">
        <v>4796</v>
      </c>
      <c r="D22" s="7">
        <v>2508</v>
      </c>
      <c r="E22" s="7">
        <v>4600</v>
      </c>
      <c r="F22" s="7">
        <v>2458</v>
      </c>
      <c r="G22" s="7">
        <v>94.04</v>
      </c>
      <c r="H22" s="7">
        <v>3.681</v>
      </c>
      <c r="I22" s="7">
        <v>29.9</v>
      </c>
      <c r="J22" s="7">
        <v>3.3995000000000002</v>
      </c>
      <c r="K22" s="7">
        <v>3</v>
      </c>
      <c r="L22" s="17">
        <v>28</v>
      </c>
      <c r="M22" t="str">
        <f t="shared" si="0"/>
        <v/>
      </c>
      <c r="N22" t="str">
        <f t="shared" si="1"/>
        <v/>
      </c>
      <c r="O22">
        <f t="shared" si="2"/>
        <v>94.04</v>
      </c>
      <c r="P22" t="str">
        <f t="shared" si="9"/>
        <v/>
      </c>
      <c r="Q22" t="str">
        <f t="shared" si="3"/>
        <v/>
      </c>
      <c r="R22">
        <f>IF(A22="Similar",J22,"")</f>
        <v>3.3995000000000002</v>
      </c>
      <c r="S22" t="str">
        <f t="shared" si="6"/>
        <v/>
      </c>
      <c r="T22" t="str">
        <f t="shared" si="7"/>
        <v/>
      </c>
      <c r="U22">
        <f t="shared" si="8"/>
        <v>28</v>
      </c>
    </row>
    <row r="23" spans="1:21">
      <c r="A23" s="6" t="s">
        <v>74</v>
      </c>
      <c r="B23" s="7" t="s">
        <v>25</v>
      </c>
      <c r="C23" s="7">
        <v>1052</v>
      </c>
      <c r="D23" s="7">
        <v>561</v>
      </c>
      <c r="E23" s="7">
        <v>913</v>
      </c>
      <c r="F23" s="7">
        <v>525</v>
      </c>
      <c r="G23" s="7">
        <v>20.63</v>
      </c>
      <c r="H23" s="7">
        <v>3.0224000000000002</v>
      </c>
      <c r="I23" s="7">
        <v>6.69</v>
      </c>
      <c r="J23" s="7">
        <v>2.7496999999999998</v>
      </c>
      <c r="K23" s="7">
        <v>3</v>
      </c>
      <c r="L23" s="17">
        <v>40</v>
      </c>
      <c r="M23" t="str">
        <f t="shared" si="0"/>
        <v/>
      </c>
      <c r="N23" t="str">
        <f t="shared" si="1"/>
        <v/>
      </c>
      <c r="O23">
        <f t="shared" si="2"/>
        <v>20.63</v>
      </c>
      <c r="P23" t="str">
        <f t="shared" si="9"/>
        <v/>
      </c>
      <c r="Q23" t="str">
        <f t="shared" si="3"/>
        <v/>
      </c>
      <c r="R23">
        <f t="shared" ref="R23:R31" si="15">IF(A23="Similar",J23,"")</f>
        <v>2.7496999999999998</v>
      </c>
      <c r="S23" t="str">
        <f t="shared" si="6"/>
        <v/>
      </c>
      <c r="T23" t="str">
        <f t="shared" si="7"/>
        <v/>
      </c>
      <c r="U23">
        <f t="shared" si="8"/>
        <v>40</v>
      </c>
    </row>
    <row r="24" spans="1:21">
      <c r="A24" s="6" t="s">
        <v>74</v>
      </c>
      <c r="B24" s="7" t="s">
        <v>24</v>
      </c>
      <c r="C24" s="7">
        <v>94133</v>
      </c>
      <c r="D24" s="7">
        <v>8054</v>
      </c>
      <c r="E24" s="7">
        <v>84739</v>
      </c>
      <c r="F24" s="7">
        <v>7956</v>
      </c>
      <c r="G24" s="7">
        <v>1845.75</v>
      </c>
      <c r="H24" s="7">
        <v>4.9737</v>
      </c>
      <c r="I24" s="7">
        <v>96.02</v>
      </c>
      <c r="J24" s="7">
        <v>3.9060999999999999</v>
      </c>
      <c r="K24" s="7">
        <v>3</v>
      </c>
      <c r="L24" s="17">
        <v>26</v>
      </c>
      <c r="M24" t="str">
        <f t="shared" si="0"/>
        <v/>
      </c>
      <c r="N24" t="str">
        <f t="shared" si="1"/>
        <v/>
      </c>
      <c r="O24">
        <f t="shared" si="2"/>
        <v>1845.75</v>
      </c>
      <c r="P24" t="str">
        <f t="shared" si="9"/>
        <v/>
      </c>
      <c r="Q24" t="str">
        <f t="shared" si="3"/>
        <v/>
      </c>
      <c r="R24">
        <f t="shared" si="15"/>
        <v>3.9060999999999999</v>
      </c>
      <c r="S24" t="str">
        <f t="shared" si="6"/>
        <v/>
      </c>
      <c r="T24" t="str">
        <f t="shared" si="7"/>
        <v/>
      </c>
      <c r="U24">
        <f t="shared" si="8"/>
        <v>26</v>
      </c>
    </row>
    <row r="25" spans="1:21">
      <c r="A25" s="6" t="s">
        <v>74</v>
      </c>
      <c r="B25" s="7" t="s">
        <v>23</v>
      </c>
      <c r="C25" s="7">
        <v>178</v>
      </c>
      <c r="D25" s="7">
        <v>139</v>
      </c>
      <c r="E25" s="7">
        <v>166</v>
      </c>
      <c r="F25" s="7">
        <v>135</v>
      </c>
      <c r="G25" s="7">
        <v>3.49</v>
      </c>
      <c r="H25" s="7">
        <v>2.2528999999999999</v>
      </c>
      <c r="I25" s="7">
        <v>1.66</v>
      </c>
      <c r="J25" s="7">
        <v>2.1461000000000001</v>
      </c>
      <c r="K25" s="7">
        <v>3</v>
      </c>
      <c r="L25" s="17">
        <v>30</v>
      </c>
      <c r="M25" t="str">
        <f t="shared" si="0"/>
        <v/>
      </c>
      <c r="N25" t="str">
        <f t="shared" si="1"/>
        <v/>
      </c>
      <c r="O25">
        <f t="shared" si="2"/>
        <v>3.49</v>
      </c>
      <c r="P25" t="str">
        <f t="shared" si="9"/>
        <v/>
      </c>
      <c r="Q25" t="str">
        <f t="shared" si="3"/>
        <v/>
      </c>
      <c r="R25">
        <f t="shared" si="15"/>
        <v>2.1461000000000001</v>
      </c>
      <c r="S25" t="str">
        <f t="shared" si="6"/>
        <v/>
      </c>
      <c r="T25" t="str">
        <f t="shared" si="7"/>
        <v/>
      </c>
      <c r="U25">
        <f t="shared" si="8"/>
        <v>30</v>
      </c>
    </row>
    <row r="26" spans="1:21">
      <c r="A26" s="6" t="s">
        <v>74</v>
      </c>
      <c r="B26" s="7" t="s">
        <v>22</v>
      </c>
      <c r="C26" s="7">
        <v>627</v>
      </c>
      <c r="D26" s="7">
        <v>366</v>
      </c>
      <c r="E26" s="7">
        <v>345</v>
      </c>
      <c r="F26" s="7">
        <v>265</v>
      </c>
      <c r="G26" s="7">
        <v>12.29</v>
      </c>
      <c r="H26" s="7">
        <v>2.798</v>
      </c>
      <c r="I26" s="7">
        <v>4.3600000000000003</v>
      </c>
      <c r="J26" s="7">
        <v>2.5647000000000002</v>
      </c>
      <c r="K26" s="7">
        <v>3</v>
      </c>
      <c r="L26" s="17">
        <v>31</v>
      </c>
      <c r="M26" t="str">
        <f t="shared" si="0"/>
        <v/>
      </c>
      <c r="N26" t="str">
        <f t="shared" si="1"/>
        <v/>
      </c>
      <c r="O26">
        <f t="shared" si="2"/>
        <v>12.29</v>
      </c>
      <c r="P26" t="str">
        <f t="shared" si="9"/>
        <v/>
      </c>
      <c r="Q26" t="str">
        <f t="shared" si="3"/>
        <v/>
      </c>
      <c r="R26">
        <f t="shared" si="15"/>
        <v>2.5647000000000002</v>
      </c>
      <c r="S26" t="str">
        <f t="shared" si="6"/>
        <v/>
      </c>
      <c r="T26" t="str">
        <f t="shared" si="7"/>
        <v/>
      </c>
      <c r="U26">
        <f t="shared" si="8"/>
        <v>31</v>
      </c>
    </row>
    <row r="27" spans="1:21">
      <c r="A27" s="6" t="s">
        <v>74</v>
      </c>
      <c r="B27" s="7" t="s">
        <v>21</v>
      </c>
      <c r="C27" s="7">
        <v>933</v>
      </c>
      <c r="D27" s="7">
        <v>357</v>
      </c>
      <c r="E27" s="7">
        <v>178</v>
      </c>
      <c r="F27" s="7">
        <v>156</v>
      </c>
      <c r="G27" s="7">
        <v>18.29</v>
      </c>
      <c r="H27" s="7">
        <v>2.9702999999999999</v>
      </c>
      <c r="I27" s="7">
        <v>4.26</v>
      </c>
      <c r="J27" s="7">
        <v>2.5539000000000001</v>
      </c>
      <c r="K27" s="7">
        <v>3</v>
      </c>
      <c r="L27" s="17">
        <v>39</v>
      </c>
      <c r="M27" t="str">
        <f t="shared" si="0"/>
        <v/>
      </c>
      <c r="N27" t="str">
        <f t="shared" si="1"/>
        <v/>
      </c>
      <c r="O27">
        <f t="shared" si="2"/>
        <v>18.29</v>
      </c>
      <c r="P27" t="str">
        <f t="shared" si="9"/>
        <v/>
      </c>
      <c r="Q27" t="str">
        <f t="shared" si="3"/>
        <v/>
      </c>
      <c r="R27">
        <f t="shared" si="15"/>
        <v>2.5539000000000001</v>
      </c>
      <c r="S27" t="str">
        <f t="shared" si="6"/>
        <v/>
      </c>
      <c r="T27" t="str">
        <f t="shared" si="7"/>
        <v/>
      </c>
      <c r="U27">
        <f t="shared" si="8"/>
        <v>39</v>
      </c>
    </row>
    <row r="28" spans="1:21">
      <c r="A28" s="6" t="s">
        <v>74</v>
      </c>
      <c r="B28" s="7" t="s">
        <v>20</v>
      </c>
      <c r="C28" s="7">
        <v>4296</v>
      </c>
      <c r="D28" s="7">
        <v>2870</v>
      </c>
      <c r="E28" s="7">
        <v>4154</v>
      </c>
      <c r="F28" s="7">
        <v>2808</v>
      </c>
      <c r="G28" s="7">
        <v>84.24</v>
      </c>
      <c r="H28" s="7">
        <v>3.6332</v>
      </c>
      <c r="I28" s="7">
        <v>34.22</v>
      </c>
      <c r="J28" s="7">
        <v>3.4580000000000002</v>
      </c>
      <c r="K28" s="7">
        <v>3</v>
      </c>
      <c r="L28" s="17">
        <v>28</v>
      </c>
      <c r="M28" t="str">
        <f t="shared" si="0"/>
        <v/>
      </c>
      <c r="N28" t="str">
        <f t="shared" si="1"/>
        <v/>
      </c>
      <c r="O28">
        <f t="shared" si="2"/>
        <v>84.24</v>
      </c>
      <c r="P28" t="str">
        <f t="shared" si="9"/>
        <v/>
      </c>
      <c r="Q28" t="str">
        <f t="shared" si="3"/>
        <v/>
      </c>
      <c r="R28">
        <f t="shared" si="15"/>
        <v>3.4580000000000002</v>
      </c>
      <c r="S28" t="str">
        <f t="shared" si="6"/>
        <v/>
      </c>
      <c r="T28" t="str">
        <f t="shared" si="7"/>
        <v/>
      </c>
      <c r="U28">
        <f t="shared" si="8"/>
        <v>28</v>
      </c>
    </row>
    <row r="29" spans="1:21">
      <c r="A29" s="6" t="s">
        <v>74</v>
      </c>
      <c r="B29" s="7" t="s">
        <v>19</v>
      </c>
      <c r="C29" s="7">
        <v>1663</v>
      </c>
      <c r="D29" s="7">
        <v>941</v>
      </c>
      <c r="E29" s="7">
        <v>1489</v>
      </c>
      <c r="F29" s="7">
        <v>893</v>
      </c>
      <c r="G29" s="7">
        <v>32.61</v>
      </c>
      <c r="H29" s="7">
        <v>3.2212000000000001</v>
      </c>
      <c r="I29" s="7">
        <v>11.22</v>
      </c>
      <c r="J29" s="7">
        <v>2.9741</v>
      </c>
      <c r="K29" s="7">
        <v>3</v>
      </c>
      <c r="L29" s="17">
        <v>37</v>
      </c>
      <c r="M29" t="str">
        <f t="shared" si="0"/>
        <v/>
      </c>
      <c r="N29" t="str">
        <f t="shared" si="1"/>
        <v/>
      </c>
      <c r="O29">
        <f t="shared" si="2"/>
        <v>32.61</v>
      </c>
      <c r="P29" t="str">
        <f t="shared" si="9"/>
        <v/>
      </c>
      <c r="Q29" t="str">
        <f t="shared" si="3"/>
        <v/>
      </c>
      <c r="R29">
        <f t="shared" si="15"/>
        <v>2.9741</v>
      </c>
      <c r="S29" t="str">
        <f t="shared" si="6"/>
        <v/>
      </c>
      <c r="T29" t="str">
        <f t="shared" si="7"/>
        <v/>
      </c>
      <c r="U29">
        <f t="shared" si="8"/>
        <v>37</v>
      </c>
    </row>
    <row r="30" spans="1:21">
      <c r="A30" s="6" t="s">
        <v>74</v>
      </c>
      <c r="B30" s="7" t="s">
        <v>17</v>
      </c>
      <c r="C30" s="7">
        <v>439</v>
      </c>
      <c r="D30" s="7">
        <v>280</v>
      </c>
      <c r="E30" s="7">
        <v>318</v>
      </c>
      <c r="F30" s="7">
        <v>255</v>
      </c>
      <c r="G30" s="7">
        <v>8.61</v>
      </c>
      <c r="H30" s="7">
        <v>2.6435</v>
      </c>
      <c r="I30" s="7">
        <v>3.34</v>
      </c>
      <c r="J30" s="7">
        <v>2.4487000000000001</v>
      </c>
      <c r="K30" s="7">
        <v>3</v>
      </c>
      <c r="L30" s="17">
        <v>25</v>
      </c>
      <c r="M30" t="str">
        <f t="shared" si="0"/>
        <v/>
      </c>
      <c r="N30" t="str">
        <f t="shared" si="1"/>
        <v/>
      </c>
      <c r="O30">
        <f t="shared" si="2"/>
        <v>8.61</v>
      </c>
      <c r="P30" t="str">
        <f t="shared" si="9"/>
        <v/>
      </c>
      <c r="Q30" t="str">
        <f t="shared" si="3"/>
        <v/>
      </c>
      <c r="R30">
        <f t="shared" si="15"/>
        <v>2.4487000000000001</v>
      </c>
      <c r="S30" t="str">
        <f t="shared" si="6"/>
        <v/>
      </c>
      <c r="T30" t="str">
        <f t="shared" si="7"/>
        <v/>
      </c>
      <c r="U30">
        <f t="shared" si="8"/>
        <v>25</v>
      </c>
    </row>
    <row r="31" spans="1:21">
      <c r="A31" s="6" t="s">
        <v>74</v>
      </c>
      <c r="B31" s="7" t="s">
        <v>16</v>
      </c>
      <c r="C31" s="7">
        <v>752</v>
      </c>
      <c r="D31" s="7">
        <v>480</v>
      </c>
      <c r="E31" s="7">
        <v>653</v>
      </c>
      <c r="F31" s="7">
        <v>440</v>
      </c>
      <c r="G31" s="7">
        <v>14.75</v>
      </c>
      <c r="H31" s="7">
        <v>2.8767999999999998</v>
      </c>
      <c r="I31" s="7">
        <v>5.72</v>
      </c>
      <c r="J31" s="7">
        <v>2.6821000000000002</v>
      </c>
      <c r="K31" s="7">
        <v>3</v>
      </c>
      <c r="L31" s="17">
        <v>26</v>
      </c>
      <c r="M31" t="str">
        <f t="shared" si="0"/>
        <v/>
      </c>
      <c r="N31" t="str">
        <f t="shared" si="1"/>
        <v/>
      </c>
      <c r="O31">
        <f t="shared" si="2"/>
        <v>14.75</v>
      </c>
      <c r="P31" t="str">
        <f t="shared" si="9"/>
        <v/>
      </c>
      <c r="Q31" t="str">
        <f t="shared" si="3"/>
        <v/>
      </c>
      <c r="R31">
        <f t="shared" si="15"/>
        <v>2.6821000000000002</v>
      </c>
      <c r="S31" t="str">
        <f t="shared" si="6"/>
        <v/>
      </c>
      <c r="T31" t="str">
        <f t="shared" si="7"/>
        <v/>
      </c>
      <c r="U31">
        <f t="shared" si="8"/>
        <v>26</v>
      </c>
    </row>
    <row r="33" spans="11:21">
      <c r="K33" s="11" t="s">
        <v>14</v>
      </c>
      <c r="L33" s="11"/>
      <c r="M33">
        <f>AVERAGE(M2:M31)</f>
        <v>550.45699999999988</v>
      </c>
      <c r="N33">
        <f t="shared" ref="N33:O33" si="16">AVERAGE(N2:N31)</f>
        <v>123.83796078431371</v>
      </c>
      <c r="O33">
        <f t="shared" si="16"/>
        <v>213.47000000000003</v>
      </c>
      <c r="P33" s="10">
        <f>AVERAGE(P2:P31)</f>
        <v>2.8604599999999998</v>
      </c>
      <c r="Q33" s="10">
        <f t="shared" ref="Q33:R33" si="17">AVERAGE(Q2:Q31)</f>
        <v>3.1482998848387451</v>
      </c>
      <c r="R33" s="10">
        <f t="shared" si="17"/>
        <v>2.88829</v>
      </c>
      <c r="S33" s="10">
        <f>AVERAGE(S2:S31)</f>
        <v>25.8</v>
      </c>
      <c r="T33" s="10">
        <f t="shared" ref="T33:U33" si="18">AVERAGE(T2:T31)</f>
        <v>8</v>
      </c>
      <c r="U33" s="10">
        <f t="shared" si="18"/>
        <v>31</v>
      </c>
    </row>
    <row r="34" spans="11:21">
      <c r="K34" s="11" t="s">
        <v>15</v>
      </c>
      <c r="L34" s="11"/>
      <c r="M34">
        <f>_xlfn.STDEV.P(M2:M31)</f>
        <v>1312.6131639142588</v>
      </c>
      <c r="N34">
        <f t="shared" ref="N34:O34" si="19">_xlfn.STDEV.P(N2:N31)</f>
        <v>118.87905217016407</v>
      </c>
      <c r="O34">
        <f t="shared" si="19"/>
        <v>544.91439736898121</v>
      </c>
      <c r="P34" s="10">
        <f>_xlfn.STDEV.P(P2:P31)</f>
        <v>0.79550340690659593</v>
      </c>
      <c r="Q34" s="10">
        <f t="shared" ref="Q34:R34" si="20">_xlfn.STDEV.P(Q2:Q31)</f>
        <v>0.56557401717258915</v>
      </c>
      <c r="R34" s="10">
        <f t="shared" si="20"/>
        <v>0.51493103703311804</v>
      </c>
      <c r="S34" s="10">
        <f>_xlfn.STDEV.P(S2:S31)</f>
        <v>8.2194890352138064</v>
      </c>
      <c r="T34" s="10">
        <f t="shared" ref="T34:U34" si="21">_xlfn.STDEV.P(T2:T31)</f>
        <v>9.1542339930766463</v>
      </c>
      <c r="U34" s="10">
        <f t="shared" si="21"/>
        <v>5.347896782848375</v>
      </c>
    </row>
  </sheetData>
  <sortState xmlns:xlrd2="http://schemas.microsoft.com/office/spreadsheetml/2017/richdata2" ref="A2:R31">
    <sortCondition ref="A2:A31"/>
    <sortCondition ref="B2:B3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KEY</vt:lpstr>
      <vt:lpstr>Transcriptions</vt:lpstr>
      <vt:lpstr>Dissimilar_PED</vt:lpstr>
      <vt:lpstr>Veridical_PED</vt:lpstr>
      <vt:lpstr>Spurious_PED</vt:lpstr>
      <vt:lpstr>WordChar</vt:lpstr>
      <vt:lpstr>Word Frequency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bosadak</cp:lastModifiedBy>
  <dcterms:modified xsi:type="dcterms:W3CDTF">2020-07-22T19:47:24Z</dcterms:modified>
</cp:coreProperties>
</file>