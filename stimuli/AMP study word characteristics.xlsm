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\\boystown.org\btnrh\MemLangLab\Dev of Verbal Memory Strategies\AMPS_local\stimuli\thisStudy\"/>
    </mc:Choice>
  </mc:AlternateContent>
  <bookViews>
    <workbookView xWindow="3900" yWindow="465" windowWidth="20280" windowHeight="16395"/>
  </bookViews>
  <sheets>
    <sheet name="KEY" sheetId="4" r:id="rId1"/>
    <sheet name="Transcriptions" sheetId="5" r:id="rId2"/>
    <sheet name="Dissimilar_PED" sheetId="3" r:id="rId3"/>
    <sheet name="Similar_PED" sheetId="2" r:id="rId4"/>
    <sheet name="Alternate_PED" sheetId="1" r:id="rId5"/>
    <sheet name="Word Frequency" sheetId="6" r:id="rId6"/>
  </sheets>
  <calcPr calcId="162913"/>
</workbook>
</file>

<file path=xl/calcChain.xml><?xml version="1.0" encoding="utf-8"?>
<calcChain xmlns="http://schemas.openxmlformats.org/spreadsheetml/2006/main">
  <c r="P2" i="6" l="1"/>
  <c r="P3" i="6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Q2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O2" i="6"/>
  <c r="O3" i="6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0" i="6"/>
  <c r="O21" i="6"/>
  <c r="O22" i="6"/>
  <c r="O23" i="6"/>
  <c r="O24" i="6"/>
  <c r="O25" i="6"/>
  <c r="O26" i="6"/>
  <c r="O27" i="6"/>
  <c r="O28" i="6"/>
  <c r="O29" i="6"/>
  <c r="O30" i="6"/>
  <c r="O31" i="6"/>
  <c r="M2" i="6"/>
  <c r="M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N2" i="6"/>
  <c r="N3" i="6"/>
  <c r="N4" i="6"/>
  <c r="N5" i="6"/>
  <c r="N6" i="6"/>
  <c r="N7" i="6"/>
  <c r="N8" i="6"/>
  <c r="N9" i="6"/>
  <c r="N10" i="6"/>
  <c r="N11" i="6"/>
  <c r="N12" i="6"/>
  <c r="N13" i="6"/>
  <c r="N14" i="6"/>
  <c r="N15" i="6"/>
  <c r="N16" i="6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L2" i="6"/>
  <c r="L3" i="6"/>
  <c r="L4" i="6"/>
  <c r="L5" i="6"/>
  <c r="L6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0" i="6"/>
  <c r="L21" i="6"/>
  <c r="L22" i="6"/>
  <c r="L23" i="6"/>
  <c r="L24" i="6"/>
  <c r="L25" i="6"/>
  <c r="L26" i="6"/>
  <c r="L27" i="6"/>
  <c r="L28" i="6"/>
  <c r="L29" i="6"/>
  <c r="L30" i="6"/>
  <c r="L31" i="6"/>
  <c r="H48" i="3"/>
  <c r="H49" i="3"/>
  <c r="H48" i="2"/>
  <c r="H49" i="2"/>
  <c r="O33" i="6" l="1"/>
  <c r="L33" i="6"/>
  <c r="Q34" i="6"/>
  <c r="N34" i="6"/>
  <c r="N33" i="6"/>
  <c r="M33" i="6"/>
  <c r="Q33" i="6"/>
  <c r="P33" i="6"/>
  <c r="L34" i="6"/>
  <c r="O34" i="6"/>
  <c r="P34" i="6"/>
  <c r="M34" i="6"/>
</calcChain>
</file>

<file path=xl/sharedStrings.xml><?xml version="1.0" encoding="utf-8"?>
<sst xmlns="http://schemas.openxmlformats.org/spreadsheetml/2006/main" count="1160" uniqueCount="114">
  <si>
    <t>Corpus</t>
  </si>
  <si>
    <t>First word</t>
  </si>
  <si>
    <t>Second word</t>
  </si>
  <si>
    <t>Algorithm</t>
  </si>
  <si>
    <t>String type</t>
  </si>
  <si>
    <t>Frequency type</t>
  </si>
  <si>
    <t>Pronunciation variants</t>
  </si>
  <si>
    <t>Result</t>
  </si>
  <si>
    <t>Phonological edit distance</t>
  </si>
  <si>
    <t>Transcription</t>
  </si>
  <si>
    <t>N/A</t>
  </si>
  <si>
    <t>Canonical Form</t>
  </si>
  <si>
    <t>pain</t>
  </si>
  <si>
    <t>wet</t>
  </si>
  <si>
    <t>mean</t>
  </si>
  <si>
    <t>sd</t>
  </si>
  <si>
    <t>tap</t>
  </si>
  <si>
    <t>tan</t>
  </si>
  <si>
    <t>ForPCT_sim</t>
  </si>
  <si>
    <t>rat</t>
  </si>
  <si>
    <t>ran</t>
  </si>
  <si>
    <t>pat</t>
  </si>
  <si>
    <t>pan</t>
  </si>
  <si>
    <t>mat</t>
  </si>
  <si>
    <t>man</t>
  </si>
  <si>
    <t>bat</t>
  </si>
  <si>
    <t>bag</t>
  </si>
  <si>
    <t>tree</t>
  </si>
  <si>
    <t>spoon</t>
  </si>
  <si>
    <t>ForPCT_dis</t>
  </si>
  <si>
    <t>kite</t>
  </si>
  <si>
    <t>hand</t>
  </si>
  <si>
    <t>fork</t>
  </si>
  <si>
    <t>fish</t>
  </si>
  <si>
    <t>door</t>
  </si>
  <si>
    <t>clock</t>
  </si>
  <si>
    <t>bus</t>
  </si>
  <si>
    <t>bird</t>
  </si>
  <si>
    <t>Dissimilar_PED</t>
  </si>
  <si>
    <t>Similar_PED</t>
  </si>
  <si>
    <t>Alternate_PED</t>
  </si>
  <si>
    <t>the phonological Edit Distance of each alternative pronounciation taught in leiu of the similar words. The average PED for alternative pronounciations is 12.7 (sd=3.6)</t>
  </si>
  <si>
    <t>the Phonological Edit Distance of each word in the dissimilar condition with every other word in that condition. The average PED for dissimilar words is 17.4 (sd=3.9)</t>
  </si>
  <si>
    <t>the Phonological Edit Distance of each word in the similar condition with every other word in that condition. The average PED for similar words is 7.1 (sd=2.9)</t>
  </si>
  <si>
    <t>Spelling</t>
  </si>
  <si>
    <t>p.æ.n</t>
  </si>
  <si>
    <t>t.æ.p</t>
  </si>
  <si>
    <t>b.æ.t</t>
  </si>
  <si>
    <t>m.æ.n</t>
  </si>
  <si>
    <t>ɹ.æ.t</t>
  </si>
  <si>
    <t>ɹ.æ.n</t>
  </si>
  <si>
    <t>p.æ.t</t>
  </si>
  <si>
    <t>m.æ.t</t>
  </si>
  <si>
    <t>t.æ.n</t>
  </si>
  <si>
    <t>b.æ.ɡ</t>
  </si>
  <si>
    <t>similar</t>
  </si>
  <si>
    <t>k.l.ɑ.k</t>
  </si>
  <si>
    <t>d.ɔ.ɹ</t>
  </si>
  <si>
    <t>f.ɘ.ʃ</t>
  </si>
  <si>
    <t>f.ɔ.ɹ.k</t>
  </si>
  <si>
    <t>h.æ.n.d</t>
  </si>
  <si>
    <t>k.aɪ.t</t>
  </si>
  <si>
    <t>b.ʌ.s</t>
  </si>
  <si>
    <t>s.p.u.n</t>
  </si>
  <si>
    <t>t.ɹ.i</t>
  </si>
  <si>
    <t>b.ɝ.d</t>
  </si>
  <si>
    <t>dissimilar</t>
  </si>
  <si>
    <t>p.eɪ.n</t>
  </si>
  <si>
    <t>w.ɛ.t</t>
  </si>
  <si>
    <t>alternate</t>
  </si>
  <si>
    <t>a list of transcriptions used to create the corpora from which Phonological Corpus Toolbox calculated Phonological Edit Distance</t>
  </si>
  <si>
    <t>Word</t>
  </si>
  <si>
    <t>FREQcount</t>
  </si>
  <si>
    <t>Cdcount</t>
  </si>
  <si>
    <t>FREQlow</t>
  </si>
  <si>
    <t>Cdlow</t>
  </si>
  <si>
    <t>SUBTLwf</t>
  </si>
  <si>
    <t>Lg10WF</t>
  </si>
  <si>
    <t>SUBTLcd</t>
  </si>
  <si>
    <t>Lg10CD</t>
  </si>
  <si>
    <t>Length</t>
  </si>
  <si>
    <t>Cond</t>
  </si>
  <si>
    <t>Similar</t>
  </si>
  <si>
    <t>Dissimilar</t>
  </si>
  <si>
    <t>Alternate</t>
  </si>
  <si>
    <t>Word Frequency</t>
  </si>
  <si>
    <t>WF_Dissimilar</t>
  </si>
  <si>
    <t>WF_Similar</t>
  </si>
  <si>
    <t>Word frequencies (WF) are calculated for each condition type as is Context Diversity (CD). According to Brysbaert et al., CD is a better predictor of many memory-related phenomena than is WF</t>
  </si>
  <si>
    <t>CD_Dissimilar</t>
  </si>
  <si>
    <t>CD_Similar</t>
  </si>
  <si>
    <t>The file is set up so that the list can be sorted without interferin in condition-level mean/sd calculations</t>
  </si>
  <si>
    <t>ForPCT_alt2</t>
  </si>
  <si>
    <t>WF_Alternate_set2</t>
  </si>
  <si>
    <t>CD_Alternate_set2</t>
  </si>
  <si>
    <t>beg</t>
  </si>
  <si>
    <t>but</t>
  </si>
  <si>
    <t>noun</t>
  </si>
  <si>
    <t>knit</t>
  </si>
  <si>
    <t>pot</t>
  </si>
  <si>
    <t>roam</t>
  </si>
  <si>
    <t>tune</t>
  </si>
  <si>
    <t>talk</t>
  </si>
  <si>
    <t>b.ɛ.ɡ</t>
  </si>
  <si>
    <t>b.ʌ.t</t>
  </si>
  <si>
    <t>n.aʊ.n</t>
  </si>
  <si>
    <t>n.ɪ.t</t>
  </si>
  <si>
    <t>p.ɒ.t</t>
  </si>
  <si>
    <t>ɹ.oʊ.m</t>
  </si>
  <si>
    <t>t.ɔ.k</t>
  </si>
  <si>
    <t>http://subtlexus.lexique.org/moteur2/index.php</t>
  </si>
  <si>
    <t>[CITATION: Brysbaert, M. &amp; New, B. (2009) Moving beyond Kucera and Francis: A Critical Evaluation of Current Word Frequency Norms and the Introduction of a New and Improved Word Frequency Measure for American English. Behavior Research Methods, 41 (4), 977-990. ]</t>
  </si>
  <si>
    <t>word frequency information pulled from the database:</t>
  </si>
  <si>
    <t>t.u.n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</si>
</sst>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Arial"/>
      <family val="2"/>
    </font>
    <font>
      <sz val="14"/>
      <color rgb="FF222222"/>
      <name val="Arial"/>
      <family val="2"/>
    </font>
    <font>
      <sz val="19"/>
      <color rgb="FF213646"/>
      <name val="Georgia"/>
      <family val="1"/>
    </font>
    <font>
      <sz val="10"/>
      <color rgb="FF000000"/>
      <name val="Arial"/>
      <family val="2"/>
    </font>
    <font>
      <sz val="15"/>
      <color rgb="FF222222"/>
      <name val="Lucida Grande"/>
      <family val="2"/>
    </font>
    <font>
      <sz val="12"/>
      <color rgb="FF00000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4" fillId="0" borderId="0" applyNumberFormat="0" applyFill="0" applyBorder="0" applyAlignment="0" applyProtection="0"/>
  </cellStyleXfs>
  <cellXfs count="15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0" fontId="0" fillId="33" borderId="0" xfId="0" applyFill="1"/>
    <xf numFmtId="0" fontId="21" fillId="33" borderId="0" xfId="0" applyFont="1" applyFill="1"/>
    <xf numFmtId="0" fontId="0" fillId="34" borderId="0" xfId="0" applyFill="1"/>
    <xf numFmtId="0" fontId="21" fillId="34" borderId="0" xfId="0" applyFont="1" applyFill="1"/>
    <xf numFmtId="0" fontId="0" fillId="35" borderId="0" xfId="0" applyFill="1"/>
    <xf numFmtId="0" fontId="21" fillId="35" borderId="0" xfId="0" applyFont="1" applyFill="1"/>
    <xf numFmtId="0" fontId="16" fillId="0" borderId="0" xfId="0" applyFont="1"/>
    <xf numFmtId="0" fontId="16" fillId="0" borderId="0" xfId="0" applyFont="1" applyAlignment="1">
      <alignment horizontal="right"/>
    </xf>
    <xf numFmtId="0" fontId="22" fillId="0" borderId="0" xfId="0" applyFont="1"/>
    <xf numFmtId="0" fontId="23" fillId="0" borderId="0" xfId="0" applyFont="1"/>
    <xf numFmtId="0" fontId="24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subtlexus.lexique.org/moteur2/index.php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11"/>
  <sheetViews>
    <sheetView tabSelected="1" workbookViewId="0">
      <selection activeCell="A12" sqref="A12"/>
    </sheetView>
  </sheetViews>
  <sheetFormatPr defaultColWidth="11" defaultRowHeight="15.75"/>
  <cols>
    <col min="1" max="1" width="19.125" customWidth="1"/>
  </cols>
  <sheetData>
    <row r="3" spans="1:3">
      <c r="A3" t="s">
        <v>9</v>
      </c>
      <c r="B3" t="s">
        <v>70</v>
      </c>
    </row>
    <row r="4" spans="1:3">
      <c r="A4" t="s">
        <v>38</v>
      </c>
      <c r="B4" t="s">
        <v>42</v>
      </c>
    </row>
    <row r="5" spans="1:3">
      <c r="A5" t="s">
        <v>39</v>
      </c>
      <c r="B5" t="s">
        <v>43</v>
      </c>
    </row>
    <row r="6" spans="1:3">
      <c r="A6" t="s">
        <v>40</v>
      </c>
      <c r="B6" t="s">
        <v>41</v>
      </c>
    </row>
    <row r="8" spans="1:3">
      <c r="A8" t="s">
        <v>85</v>
      </c>
      <c r="B8" t="s">
        <v>112</v>
      </c>
      <c r="C8" s="14" t="s">
        <v>110</v>
      </c>
    </row>
    <row r="9" spans="1:3">
      <c r="B9" t="s">
        <v>111</v>
      </c>
      <c r="C9" s="14"/>
    </row>
    <row r="10" spans="1:3">
      <c r="B10" t="s">
        <v>88</v>
      </c>
    </row>
    <row r="11" spans="1:3">
      <c r="B11" t="s">
        <v>91</v>
      </c>
    </row>
  </sheetData>
  <hyperlinks>
    <hyperlink ref="C8" r:id="rId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3"/>
  <sheetViews>
    <sheetView workbookViewId="0">
      <selection activeCell="C39" sqref="C39"/>
    </sheetView>
  </sheetViews>
  <sheetFormatPr defaultColWidth="11" defaultRowHeight="15.75"/>
  <sheetData>
    <row r="1" spans="1:3" ht="18">
      <c r="A1" s="1" t="s">
        <v>44</v>
      </c>
      <c r="B1" s="1" t="s">
        <v>9</v>
      </c>
    </row>
    <row r="2" spans="1:3" ht="18">
      <c r="A2" s="1" t="s">
        <v>26</v>
      </c>
      <c r="B2" s="1" t="s">
        <v>54</v>
      </c>
      <c r="C2" t="s">
        <v>55</v>
      </c>
    </row>
    <row r="3" spans="1:3" ht="18">
      <c r="A3" s="1" t="s">
        <v>25</v>
      </c>
      <c r="B3" s="1" t="s">
        <v>47</v>
      </c>
      <c r="C3" t="s">
        <v>55</v>
      </c>
    </row>
    <row r="4" spans="1:3" ht="18">
      <c r="A4" s="1" t="s">
        <v>24</v>
      </c>
      <c r="B4" s="1" t="s">
        <v>48</v>
      </c>
      <c r="C4" t="s">
        <v>55</v>
      </c>
    </row>
    <row r="5" spans="1:3" ht="18">
      <c r="A5" s="1" t="s">
        <v>23</v>
      </c>
      <c r="B5" s="1" t="s">
        <v>52</v>
      </c>
      <c r="C5" t="s">
        <v>55</v>
      </c>
    </row>
    <row r="6" spans="1:3" ht="18">
      <c r="A6" s="1" t="s">
        <v>22</v>
      </c>
      <c r="B6" s="1" t="s">
        <v>45</v>
      </c>
      <c r="C6" t="s">
        <v>55</v>
      </c>
    </row>
    <row r="7" spans="1:3" ht="18">
      <c r="A7" s="1" t="s">
        <v>21</v>
      </c>
      <c r="B7" s="1" t="s">
        <v>51</v>
      </c>
      <c r="C7" t="s">
        <v>55</v>
      </c>
    </row>
    <row r="8" spans="1:3" ht="18">
      <c r="A8" s="1" t="s">
        <v>20</v>
      </c>
      <c r="B8" s="2" t="s">
        <v>50</v>
      </c>
      <c r="C8" t="s">
        <v>55</v>
      </c>
    </row>
    <row r="9" spans="1:3" ht="18">
      <c r="A9" s="1" t="s">
        <v>19</v>
      </c>
      <c r="B9" s="1" t="s">
        <v>49</v>
      </c>
      <c r="C9" t="s">
        <v>55</v>
      </c>
    </row>
    <row r="10" spans="1:3" ht="18">
      <c r="A10" s="1" t="s">
        <v>17</v>
      </c>
      <c r="B10" s="1" t="s">
        <v>53</v>
      </c>
      <c r="C10" t="s">
        <v>55</v>
      </c>
    </row>
    <row r="11" spans="1:3" ht="18">
      <c r="A11" s="1" t="s">
        <v>16</v>
      </c>
      <c r="B11" s="1" t="s">
        <v>46</v>
      </c>
      <c r="C11" t="s">
        <v>55</v>
      </c>
    </row>
    <row r="13" spans="1:3" ht="24">
      <c r="A13" s="1" t="s">
        <v>37</v>
      </c>
      <c r="B13" s="3" t="s">
        <v>65</v>
      </c>
      <c r="C13" t="s">
        <v>66</v>
      </c>
    </row>
    <row r="14" spans="1:3" ht="18">
      <c r="A14" s="1" t="s">
        <v>36</v>
      </c>
      <c r="B14" s="1" t="s">
        <v>62</v>
      </c>
      <c r="C14" t="s">
        <v>66</v>
      </c>
    </row>
    <row r="15" spans="1:3" ht="18">
      <c r="A15" s="1" t="s">
        <v>35</v>
      </c>
      <c r="B15" s="1" t="s">
        <v>56</v>
      </c>
      <c r="C15" t="s">
        <v>66</v>
      </c>
    </row>
    <row r="16" spans="1:3" ht="18">
      <c r="A16" s="1" t="s">
        <v>34</v>
      </c>
      <c r="B16" s="1" t="s">
        <v>57</v>
      </c>
      <c r="C16" t="s">
        <v>66</v>
      </c>
    </row>
    <row r="17" spans="1:6" ht="18">
      <c r="A17" s="1" t="s">
        <v>33</v>
      </c>
      <c r="B17" s="1" t="s">
        <v>58</v>
      </c>
      <c r="C17" t="s">
        <v>66</v>
      </c>
    </row>
    <row r="18" spans="1:6" ht="18">
      <c r="A18" s="1" t="s">
        <v>32</v>
      </c>
      <c r="B18" s="1" t="s">
        <v>59</v>
      </c>
      <c r="C18" t="s">
        <v>66</v>
      </c>
    </row>
    <row r="19" spans="1:6" ht="18">
      <c r="A19" s="1" t="s">
        <v>31</v>
      </c>
      <c r="B19" s="1" t="s">
        <v>60</v>
      </c>
      <c r="C19" t="s">
        <v>66</v>
      </c>
    </row>
    <row r="20" spans="1:6" ht="18">
      <c r="A20" s="1" t="s">
        <v>30</v>
      </c>
      <c r="B20" s="1" t="s">
        <v>61</v>
      </c>
      <c r="C20" t="s">
        <v>66</v>
      </c>
    </row>
    <row r="21" spans="1:6" ht="24">
      <c r="A21" s="1" t="s">
        <v>28</v>
      </c>
      <c r="B21" s="3" t="s">
        <v>63</v>
      </c>
      <c r="C21" t="s">
        <v>66</v>
      </c>
    </row>
    <row r="22" spans="1:6" ht="18">
      <c r="A22" s="1" t="s">
        <v>27</v>
      </c>
      <c r="B22" s="2" t="s">
        <v>64</v>
      </c>
      <c r="C22" t="s">
        <v>66</v>
      </c>
    </row>
    <row r="24" spans="1:6" ht="18.75">
      <c r="A24" s="1" t="s">
        <v>95</v>
      </c>
      <c r="B24" s="12" t="s">
        <v>103</v>
      </c>
      <c r="C24" t="s">
        <v>69</v>
      </c>
      <c r="E24" s="1"/>
      <c r="F24" s="2"/>
    </row>
    <row r="25" spans="1:6" ht="18.75">
      <c r="A25" s="1" t="s">
        <v>96</v>
      </c>
      <c r="B25" s="12" t="s">
        <v>104</v>
      </c>
      <c r="C25" t="s">
        <v>69</v>
      </c>
      <c r="E25" s="1"/>
      <c r="F25" s="1"/>
    </row>
    <row r="26" spans="1:6" ht="18.75">
      <c r="A26" s="1" t="s">
        <v>97</v>
      </c>
      <c r="B26" s="12" t="s">
        <v>105</v>
      </c>
      <c r="C26" t="s">
        <v>69</v>
      </c>
      <c r="E26" s="1"/>
      <c r="F26" s="12"/>
    </row>
    <row r="27" spans="1:6" ht="18">
      <c r="A27" s="1" t="s">
        <v>98</v>
      </c>
      <c r="B27" s="2" t="s">
        <v>106</v>
      </c>
      <c r="C27" t="s">
        <v>69</v>
      </c>
      <c r="E27" s="1"/>
      <c r="F27" s="2"/>
    </row>
    <row r="28" spans="1:6" ht="18">
      <c r="A28" s="1" t="s">
        <v>12</v>
      </c>
      <c r="B28" s="1" t="s">
        <v>67</v>
      </c>
      <c r="C28" t="s">
        <v>69</v>
      </c>
      <c r="E28" s="1"/>
      <c r="F28" s="1"/>
    </row>
    <row r="29" spans="1:6" ht="18.75">
      <c r="A29" s="1" t="s">
        <v>99</v>
      </c>
      <c r="B29" s="12" t="s">
        <v>107</v>
      </c>
      <c r="C29" t="s">
        <v>69</v>
      </c>
      <c r="E29" s="1"/>
      <c r="F29" s="1"/>
    </row>
    <row r="30" spans="1:6" ht="18.75">
      <c r="A30" s="1" t="s">
        <v>100</v>
      </c>
      <c r="B30" s="12" t="s">
        <v>108</v>
      </c>
      <c r="C30" t="s">
        <v>69</v>
      </c>
      <c r="E30" s="1"/>
      <c r="F30" s="12"/>
    </row>
    <row r="31" spans="1:6" ht="18">
      <c r="A31" s="1" t="s">
        <v>13</v>
      </c>
      <c r="B31" s="2" t="s">
        <v>68</v>
      </c>
      <c r="C31" t="s">
        <v>69</v>
      </c>
      <c r="E31" s="1"/>
      <c r="F31" s="1"/>
    </row>
    <row r="32" spans="1:6" ht="18">
      <c r="A32" s="1" t="s">
        <v>101</v>
      </c>
      <c r="B32" s="2" t="s">
        <v>113</v>
      </c>
      <c r="C32" t="s">
        <v>69</v>
      </c>
      <c r="E32" s="1"/>
      <c r="F32" s="2"/>
    </row>
    <row r="33" spans="1:6" ht="18.75">
      <c r="A33" s="1" t="s">
        <v>102</v>
      </c>
      <c r="B33" s="12" t="s">
        <v>109</v>
      </c>
      <c r="C33" t="s">
        <v>69</v>
      </c>
      <c r="E33" s="1"/>
      <c r="F33" s="12"/>
    </row>
  </sheetData>
  <sortState ref="E24:G33">
    <sortCondition ref="E2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9"/>
  <sheetViews>
    <sheetView topLeftCell="A34" workbookViewId="0">
      <selection activeCell="D42" sqref="D42"/>
    </sheetView>
  </sheetViews>
  <sheetFormatPr defaultColWidth="11" defaultRowHeight="15.75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 t="s">
        <v>29</v>
      </c>
      <c r="B2" t="s">
        <v>37</v>
      </c>
      <c r="C2" t="s">
        <v>36</v>
      </c>
      <c r="D2" t="s">
        <v>8</v>
      </c>
      <c r="E2" t="s">
        <v>9</v>
      </c>
      <c r="F2" t="s">
        <v>10</v>
      </c>
      <c r="G2" t="s">
        <v>11</v>
      </c>
      <c r="H2">
        <v>8.75</v>
      </c>
    </row>
    <row r="3" spans="1:8">
      <c r="A3" t="s">
        <v>29</v>
      </c>
      <c r="B3" t="s">
        <v>37</v>
      </c>
      <c r="C3" t="s">
        <v>35</v>
      </c>
      <c r="D3" t="s">
        <v>8</v>
      </c>
      <c r="E3" t="s">
        <v>9</v>
      </c>
      <c r="F3" t="s">
        <v>10</v>
      </c>
      <c r="G3" t="s">
        <v>11</v>
      </c>
      <c r="H3">
        <v>19.5</v>
      </c>
    </row>
    <row r="4" spans="1:8">
      <c r="A4" t="s">
        <v>29</v>
      </c>
      <c r="B4" t="s">
        <v>37</v>
      </c>
      <c r="C4" t="s">
        <v>34</v>
      </c>
      <c r="D4" t="s">
        <v>8</v>
      </c>
      <c r="E4" t="s">
        <v>9</v>
      </c>
      <c r="F4" t="s">
        <v>10</v>
      </c>
      <c r="G4" t="s">
        <v>11</v>
      </c>
      <c r="H4">
        <v>15.75</v>
      </c>
    </row>
    <row r="5" spans="1:8">
      <c r="A5" t="s">
        <v>29</v>
      </c>
      <c r="B5" t="s">
        <v>37</v>
      </c>
      <c r="C5" t="s">
        <v>33</v>
      </c>
      <c r="D5" t="s">
        <v>8</v>
      </c>
      <c r="E5" t="s">
        <v>9</v>
      </c>
      <c r="F5" t="s">
        <v>10</v>
      </c>
      <c r="G5" t="s">
        <v>11</v>
      </c>
      <c r="H5">
        <v>14.75</v>
      </c>
    </row>
    <row r="6" spans="1:8">
      <c r="A6" t="s">
        <v>29</v>
      </c>
      <c r="B6" t="s">
        <v>37</v>
      </c>
      <c r="C6" t="s">
        <v>32</v>
      </c>
      <c r="D6" t="s">
        <v>8</v>
      </c>
      <c r="E6" t="s">
        <v>9</v>
      </c>
      <c r="F6" t="s">
        <v>10</v>
      </c>
      <c r="G6" t="s">
        <v>11</v>
      </c>
      <c r="H6">
        <v>17.25</v>
      </c>
    </row>
    <row r="7" spans="1:8">
      <c r="A7" t="s">
        <v>29</v>
      </c>
      <c r="B7" t="s">
        <v>37</v>
      </c>
      <c r="C7" t="s">
        <v>31</v>
      </c>
      <c r="D7" t="s">
        <v>8</v>
      </c>
      <c r="E7" t="s">
        <v>9</v>
      </c>
      <c r="F7" t="s">
        <v>10</v>
      </c>
      <c r="G7" t="s">
        <v>11</v>
      </c>
      <c r="H7">
        <v>17.75</v>
      </c>
    </row>
    <row r="8" spans="1:8">
      <c r="A8" t="s">
        <v>29</v>
      </c>
      <c r="B8" t="s">
        <v>37</v>
      </c>
      <c r="C8" t="s">
        <v>30</v>
      </c>
      <c r="D8" t="s">
        <v>8</v>
      </c>
      <c r="E8" t="s">
        <v>9</v>
      </c>
      <c r="F8" t="s">
        <v>10</v>
      </c>
      <c r="G8" t="s">
        <v>11</v>
      </c>
      <c r="H8">
        <v>11.75</v>
      </c>
    </row>
    <row r="9" spans="1:8">
      <c r="A9" t="s">
        <v>29</v>
      </c>
      <c r="B9" t="s">
        <v>37</v>
      </c>
      <c r="C9" t="s">
        <v>28</v>
      </c>
      <c r="D9" t="s">
        <v>8</v>
      </c>
      <c r="E9" t="s">
        <v>9</v>
      </c>
      <c r="F9" t="s">
        <v>10</v>
      </c>
      <c r="G9" t="s">
        <v>11</v>
      </c>
      <c r="H9">
        <v>16</v>
      </c>
    </row>
    <row r="10" spans="1:8">
      <c r="A10" t="s">
        <v>29</v>
      </c>
      <c r="B10" t="s">
        <v>37</v>
      </c>
      <c r="C10" t="s">
        <v>27</v>
      </c>
      <c r="D10" t="s">
        <v>8</v>
      </c>
      <c r="E10" t="s">
        <v>9</v>
      </c>
      <c r="F10" t="s">
        <v>10</v>
      </c>
      <c r="G10" t="s">
        <v>11</v>
      </c>
      <c r="H10">
        <v>15.75</v>
      </c>
    </row>
    <row r="11" spans="1:8">
      <c r="A11" t="s">
        <v>29</v>
      </c>
      <c r="B11" t="s">
        <v>36</v>
      </c>
      <c r="C11" t="s">
        <v>35</v>
      </c>
      <c r="D11" t="s">
        <v>8</v>
      </c>
      <c r="E11" t="s">
        <v>9</v>
      </c>
      <c r="F11" t="s">
        <v>10</v>
      </c>
      <c r="G11" t="s">
        <v>11</v>
      </c>
      <c r="H11">
        <v>15.75</v>
      </c>
    </row>
    <row r="12" spans="1:8">
      <c r="A12" t="s">
        <v>29</v>
      </c>
      <c r="B12" t="s">
        <v>36</v>
      </c>
      <c r="C12" t="s">
        <v>34</v>
      </c>
      <c r="D12" t="s">
        <v>8</v>
      </c>
      <c r="E12" t="s">
        <v>9</v>
      </c>
      <c r="F12" t="s">
        <v>10</v>
      </c>
      <c r="G12" t="s">
        <v>11</v>
      </c>
      <c r="H12">
        <v>12</v>
      </c>
    </row>
    <row r="13" spans="1:8">
      <c r="A13" t="s">
        <v>29</v>
      </c>
      <c r="B13" t="s">
        <v>36</v>
      </c>
      <c r="C13" t="s">
        <v>33</v>
      </c>
      <c r="D13" t="s">
        <v>8</v>
      </c>
      <c r="E13" t="s">
        <v>9</v>
      </c>
      <c r="F13" t="s">
        <v>10</v>
      </c>
      <c r="G13" t="s">
        <v>11</v>
      </c>
      <c r="H13">
        <v>8</v>
      </c>
    </row>
    <row r="14" spans="1:8">
      <c r="A14" t="s">
        <v>29</v>
      </c>
      <c r="B14" t="s">
        <v>36</v>
      </c>
      <c r="C14" t="s">
        <v>32</v>
      </c>
      <c r="D14" t="s">
        <v>8</v>
      </c>
      <c r="E14" t="s">
        <v>9</v>
      </c>
      <c r="F14" t="s">
        <v>10</v>
      </c>
      <c r="G14" t="s">
        <v>11</v>
      </c>
      <c r="H14">
        <v>17</v>
      </c>
    </row>
    <row r="15" spans="1:8">
      <c r="A15" t="s">
        <v>29</v>
      </c>
      <c r="B15" t="s">
        <v>36</v>
      </c>
      <c r="C15" t="s">
        <v>31</v>
      </c>
      <c r="D15" t="s">
        <v>8</v>
      </c>
      <c r="E15" t="s">
        <v>9</v>
      </c>
      <c r="F15" t="s">
        <v>10</v>
      </c>
      <c r="G15" t="s">
        <v>11</v>
      </c>
      <c r="H15">
        <v>19</v>
      </c>
    </row>
    <row r="16" spans="1:8">
      <c r="A16" t="s">
        <v>29</v>
      </c>
      <c r="B16" t="s">
        <v>36</v>
      </c>
      <c r="C16" t="s">
        <v>30</v>
      </c>
      <c r="D16" t="s">
        <v>8</v>
      </c>
      <c r="E16" t="s">
        <v>9</v>
      </c>
      <c r="F16" t="s">
        <v>10</v>
      </c>
      <c r="G16" t="s">
        <v>11</v>
      </c>
      <c r="H16">
        <v>11</v>
      </c>
    </row>
    <row r="17" spans="1:8">
      <c r="A17" t="s">
        <v>29</v>
      </c>
      <c r="B17" t="s">
        <v>36</v>
      </c>
      <c r="C17" t="s">
        <v>28</v>
      </c>
      <c r="D17" t="s">
        <v>8</v>
      </c>
      <c r="E17" t="s">
        <v>9</v>
      </c>
      <c r="F17" t="s">
        <v>10</v>
      </c>
      <c r="G17" t="s">
        <v>11</v>
      </c>
      <c r="H17">
        <v>16.25</v>
      </c>
    </row>
    <row r="18" spans="1:8">
      <c r="A18" t="s">
        <v>29</v>
      </c>
      <c r="B18" t="s">
        <v>36</v>
      </c>
      <c r="C18" t="s">
        <v>27</v>
      </c>
      <c r="D18" t="s">
        <v>8</v>
      </c>
      <c r="E18" t="s">
        <v>9</v>
      </c>
      <c r="F18" t="s">
        <v>10</v>
      </c>
      <c r="G18" t="s">
        <v>11</v>
      </c>
      <c r="H18">
        <v>18.5</v>
      </c>
    </row>
    <row r="19" spans="1:8">
      <c r="A19" t="s">
        <v>29</v>
      </c>
      <c r="B19" t="s">
        <v>35</v>
      </c>
      <c r="C19" t="s">
        <v>34</v>
      </c>
      <c r="D19" t="s">
        <v>8</v>
      </c>
      <c r="E19" t="s">
        <v>9</v>
      </c>
      <c r="F19" t="s">
        <v>10</v>
      </c>
      <c r="G19" t="s">
        <v>11</v>
      </c>
      <c r="H19">
        <v>21.75</v>
      </c>
    </row>
    <row r="20" spans="1:8">
      <c r="A20" t="s">
        <v>29</v>
      </c>
      <c r="B20" t="s">
        <v>35</v>
      </c>
      <c r="C20" t="s">
        <v>33</v>
      </c>
      <c r="D20" t="s">
        <v>8</v>
      </c>
      <c r="E20" t="s">
        <v>9</v>
      </c>
      <c r="F20" t="s">
        <v>10</v>
      </c>
      <c r="G20" t="s">
        <v>11</v>
      </c>
      <c r="H20">
        <v>18.75</v>
      </c>
    </row>
    <row r="21" spans="1:8">
      <c r="A21" t="s">
        <v>29</v>
      </c>
      <c r="B21" t="s">
        <v>35</v>
      </c>
      <c r="C21" t="s">
        <v>32</v>
      </c>
      <c r="D21" t="s">
        <v>8</v>
      </c>
      <c r="E21" t="s">
        <v>9</v>
      </c>
      <c r="F21" t="s">
        <v>10</v>
      </c>
      <c r="G21" t="s">
        <v>11</v>
      </c>
      <c r="H21">
        <v>19.75</v>
      </c>
    </row>
    <row r="22" spans="1:8">
      <c r="A22" t="s">
        <v>29</v>
      </c>
      <c r="B22" t="s">
        <v>35</v>
      </c>
      <c r="C22" t="s">
        <v>31</v>
      </c>
      <c r="D22" t="s">
        <v>8</v>
      </c>
      <c r="E22" t="s">
        <v>9</v>
      </c>
      <c r="F22" t="s">
        <v>10</v>
      </c>
      <c r="G22" t="s">
        <v>11</v>
      </c>
      <c r="H22">
        <v>23.25</v>
      </c>
    </row>
    <row r="23" spans="1:8">
      <c r="A23" t="s">
        <v>29</v>
      </c>
      <c r="B23" t="s">
        <v>35</v>
      </c>
      <c r="C23" t="s">
        <v>30</v>
      </c>
      <c r="D23" t="s">
        <v>8</v>
      </c>
      <c r="E23" t="s">
        <v>9</v>
      </c>
      <c r="F23" t="s">
        <v>10</v>
      </c>
      <c r="G23" t="s">
        <v>11</v>
      </c>
      <c r="H23">
        <v>12.25</v>
      </c>
    </row>
    <row r="24" spans="1:8">
      <c r="A24" t="s">
        <v>29</v>
      </c>
      <c r="B24" t="s">
        <v>35</v>
      </c>
      <c r="C24" t="s">
        <v>28</v>
      </c>
      <c r="D24" t="s">
        <v>8</v>
      </c>
      <c r="E24" t="s">
        <v>9</v>
      </c>
      <c r="F24" t="s">
        <v>10</v>
      </c>
      <c r="G24" t="s">
        <v>11</v>
      </c>
      <c r="H24">
        <v>24</v>
      </c>
    </row>
    <row r="25" spans="1:8">
      <c r="A25" t="s">
        <v>29</v>
      </c>
      <c r="B25" t="s">
        <v>35</v>
      </c>
      <c r="C25" t="s">
        <v>27</v>
      </c>
      <c r="D25" t="s">
        <v>8</v>
      </c>
      <c r="E25" t="s">
        <v>9</v>
      </c>
      <c r="F25" t="s">
        <v>10</v>
      </c>
      <c r="G25" t="s">
        <v>11</v>
      </c>
      <c r="H25">
        <v>17.25</v>
      </c>
    </row>
    <row r="26" spans="1:8">
      <c r="A26" t="s">
        <v>29</v>
      </c>
      <c r="B26" t="s">
        <v>34</v>
      </c>
      <c r="C26" t="s">
        <v>33</v>
      </c>
      <c r="D26" t="s">
        <v>8</v>
      </c>
      <c r="E26" t="s">
        <v>9</v>
      </c>
      <c r="F26" t="s">
        <v>10</v>
      </c>
      <c r="G26" t="s">
        <v>11</v>
      </c>
      <c r="H26">
        <v>16</v>
      </c>
    </row>
    <row r="27" spans="1:8">
      <c r="A27" t="s">
        <v>29</v>
      </c>
      <c r="B27" t="s">
        <v>34</v>
      </c>
      <c r="C27" t="s">
        <v>32</v>
      </c>
      <c r="D27" t="s">
        <v>8</v>
      </c>
      <c r="E27" t="s">
        <v>9</v>
      </c>
      <c r="F27" t="s">
        <v>10</v>
      </c>
      <c r="G27" t="s">
        <v>11</v>
      </c>
      <c r="H27">
        <v>12.5</v>
      </c>
    </row>
    <row r="28" spans="1:8">
      <c r="A28" t="s">
        <v>29</v>
      </c>
      <c r="B28" t="s">
        <v>34</v>
      </c>
      <c r="C28" t="s">
        <v>31</v>
      </c>
      <c r="D28" t="s">
        <v>8</v>
      </c>
      <c r="E28" t="s">
        <v>9</v>
      </c>
      <c r="F28" t="s">
        <v>10</v>
      </c>
      <c r="G28" t="s">
        <v>11</v>
      </c>
      <c r="H28">
        <v>24</v>
      </c>
    </row>
    <row r="29" spans="1:8">
      <c r="A29" t="s">
        <v>29</v>
      </c>
      <c r="B29" t="s">
        <v>34</v>
      </c>
      <c r="C29" t="s">
        <v>30</v>
      </c>
      <c r="D29" t="s">
        <v>8</v>
      </c>
      <c r="E29" t="s">
        <v>9</v>
      </c>
      <c r="F29" t="s">
        <v>10</v>
      </c>
      <c r="G29" t="s">
        <v>11</v>
      </c>
      <c r="H29">
        <v>18</v>
      </c>
    </row>
    <row r="30" spans="1:8">
      <c r="A30" t="s">
        <v>29</v>
      </c>
      <c r="B30" t="s">
        <v>34</v>
      </c>
      <c r="C30" t="s">
        <v>28</v>
      </c>
      <c r="D30" t="s">
        <v>8</v>
      </c>
      <c r="E30" t="s">
        <v>9</v>
      </c>
      <c r="F30" t="s">
        <v>10</v>
      </c>
      <c r="G30" t="s">
        <v>11</v>
      </c>
      <c r="H30">
        <v>17.25</v>
      </c>
    </row>
    <row r="31" spans="1:8">
      <c r="A31" t="s">
        <v>29</v>
      </c>
      <c r="B31" t="s">
        <v>34</v>
      </c>
      <c r="C31" t="s">
        <v>27</v>
      </c>
      <c r="D31" t="s">
        <v>8</v>
      </c>
      <c r="E31" t="s">
        <v>9</v>
      </c>
      <c r="F31" t="s">
        <v>10</v>
      </c>
      <c r="G31" t="s">
        <v>11</v>
      </c>
      <c r="H31">
        <v>13.5</v>
      </c>
    </row>
    <row r="32" spans="1:8">
      <c r="A32" t="s">
        <v>29</v>
      </c>
      <c r="B32" t="s">
        <v>33</v>
      </c>
      <c r="C32" t="s">
        <v>32</v>
      </c>
      <c r="D32" t="s">
        <v>8</v>
      </c>
      <c r="E32" t="s">
        <v>9</v>
      </c>
      <c r="F32" t="s">
        <v>10</v>
      </c>
      <c r="G32" t="s">
        <v>11</v>
      </c>
      <c r="H32">
        <v>15</v>
      </c>
    </row>
    <row r="33" spans="1:8">
      <c r="A33" t="s">
        <v>29</v>
      </c>
      <c r="B33" t="s">
        <v>33</v>
      </c>
      <c r="C33" t="s">
        <v>31</v>
      </c>
      <c r="D33" t="s">
        <v>8</v>
      </c>
      <c r="E33" t="s">
        <v>9</v>
      </c>
      <c r="F33" t="s">
        <v>10</v>
      </c>
      <c r="G33" t="s">
        <v>11</v>
      </c>
      <c r="H33">
        <v>18</v>
      </c>
    </row>
    <row r="34" spans="1:8">
      <c r="A34" t="s">
        <v>29</v>
      </c>
      <c r="B34" t="s">
        <v>33</v>
      </c>
      <c r="C34" t="s">
        <v>30</v>
      </c>
      <c r="D34" t="s">
        <v>8</v>
      </c>
      <c r="E34" t="s">
        <v>9</v>
      </c>
      <c r="F34" t="s">
        <v>10</v>
      </c>
      <c r="G34" t="s">
        <v>11</v>
      </c>
      <c r="H34">
        <v>14</v>
      </c>
    </row>
    <row r="35" spans="1:8">
      <c r="A35" t="s">
        <v>29</v>
      </c>
      <c r="B35" t="s">
        <v>33</v>
      </c>
      <c r="C35" t="s">
        <v>28</v>
      </c>
      <c r="D35" t="s">
        <v>8</v>
      </c>
      <c r="E35" t="s">
        <v>9</v>
      </c>
      <c r="F35" t="s">
        <v>10</v>
      </c>
      <c r="G35" t="s">
        <v>11</v>
      </c>
      <c r="H35">
        <v>20.25</v>
      </c>
    </row>
    <row r="36" spans="1:8">
      <c r="A36" t="s">
        <v>29</v>
      </c>
      <c r="B36" t="s">
        <v>33</v>
      </c>
      <c r="C36" t="s">
        <v>27</v>
      </c>
      <c r="D36" t="s">
        <v>8</v>
      </c>
      <c r="E36" t="s">
        <v>9</v>
      </c>
      <c r="F36" t="s">
        <v>10</v>
      </c>
      <c r="G36" t="s">
        <v>11</v>
      </c>
      <c r="H36">
        <v>19.5</v>
      </c>
    </row>
    <row r="37" spans="1:8">
      <c r="A37" t="s">
        <v>29</v>
      </c>
      <c r="B37" t="s">
        <v>32</v>
      </c>
      <c r="C37" t="s">
        <v>31</v>
      </c>
      <c r="D37" t="s">
        <v>8</v>
      </c>
      <c r="E37" t="s">
        <v>9</v>
      </c>
      <c r="F37" t="s">
        <v>10</v>
      </c>
      <c r="G37" t="s">
        <v>11</v>
      </c>
      <c r="H37">
        <v>19.5</v>
      </c>
    </row>
    <row r="38" spans="1:8">
      <c r="A38" t="s">
        <v>29</v>
      </c>
      <c r="B38" t="s">
        <v>32</v>
      </c>
      <c r="C38" t="s">
        <v>30</v>
      </c>
      <c r="D38" t="s">
        <v>8</v>
      </c>
      <c r="E38" t="s">
        <v>9</v>
      </c>
      <c r="F38" t="s">
        <v>10</v>
      </c>
      <c r="G38" t="s">
        <v>11</v>
      </c>
      <c r="H38">
        <v>21</v>
      </c>
    </row>
    <row r="39" spans="1:8">
      <c r="A39" t="s">
        <v>29</v>
      </c>
      <c r="B39" t="s">
        <v>32</v>
      </c>
      <c r="C39" t="s">
        <v>28</v>
      </c>
      <c r="D39" t="s">
        <v>8</v>
      </c>
      <c r="E39" t="s">
        <v>9</v>
      </c>
      <c r="F39" t="s">
        <v>10</v>
      </c>
      <c r="G39" t="s">
        <v>11</v>
      </c>
      <c r="H39">
        <v>22.75</v>
      </c>
    </row>
    <row r="40" spans="1:8">
      <c r="A40" t="s">
        <v>29</v>
      </c>
      <c r="B40" t="s">
        <v>32</v>
      </c>
      <c r="C40" t="s">
        <v>27</v>
      </c>
      <c r="D40" t="s">
        <v>8</v>
      </c>
      <c r="E40" t="s">
        <v>9</v>
      </c>
      <c r="F40" t="s">
        <v>10</v>
      </c>
      <c r="G40" t="s">
        <v>11</v>
      </c>
      <c r="H40">
        <v>19.5</v>
      </c>
    </row>
    <row r="41" spans="1:8">
      <c r="A41" t="s">
        <v>29</v>
      </c>
      <c r="B41" t="s">
        <v>31</v>
      </c>
      <c r="C41" t="s">
        <v>30</v>
      </c>
      <c r="D41" t="s">
        <v>8</v>
      </c>
      <c r="E41" t="s">
        <v>9</v>
      </c>
      <c r="F41" t="s">
        <v>10</v>
      </c>
      <c r="G41" t="s">
        <v>11</v>
      </c>
      <c r="H41">
        <v>15.5</v>
      </c>
    </row>
    <row r="42" spans="1:8">
      <c r="A42" t="s">
        <v>29</v>
      </c>
      <c r="B42" t="s">
        <v>31</v>
      </c>
      <c r="C42" t="s">
        <v>28</v>
      </c>
      <c r="D42" t="s">
        <v>8</v>
      </c>
      <c r="E42" t="s">
        <v>9</v>
      </c>
      <c r="F42" t="s">
        <v>10</v>
      </c>
      <c r="G42" t="s">
        <v>11</v>
      </c>
      <c r="H42">
        <v>21.25</v>
      </c>
    </row>
    <row r="43" spans="1:8">
      <c r="A43" t="s">
        <v>29</v>
      </c>
      <c r="B43" t="s">
        <v>31</v>
      </c>
      <c r="C43" t="s">
        <v>27</v>
      </c>
      <c r="D43" t="s">
        <v>8</v>
      </c>
      <c r="E43" t="s">
        <v>9</v>
      </c>
      <c r="F43" t="s">
        <v>10</v>
      </c>
      <c r="G43" t="s">
        <v>11</v>
      </c>
      <c r="H43">
        <v>25.5</v>
      </c>
    </row>
    <row r="44" spans="1:8">
      <c r="A44" t="s">
        <v>29</v>
      </c>
      <c r="B44" t="s">
        <v>30</v>
      </c>
      <c r="C44" t="s">
        <v>28</v>
      </c>
      <c r="D44" t="s">
        <v>8</v>
      </c>
      <c r="E44" t="s">
        <v>9</v>
      </c>
      <c r="F44" t="s">
        <v>10</v>
      </c>
      <c r="G44" t="s">
        <v>11</v>
      </c>
      <c r="H44">
        <v>19.25</v>
      </c>
    </row>
    <row r="45" spans="1:8">
      <c r="A45" t="s">
        <v>29</v>
      </c>
      <c r="B45" t="s">
        <v>30</v>
      </c>
      <c r="C45" t="s">
        <v>27</v>
      </c>
      <c r="D45" t="s">
        <v>8</v>
      </c>
      <c r="E45" t="s">
        <v>9</v>
      </c>
      <c r="F45" t="s">
        <v>10</v>
      </c>
      <c r="G45" t="s">
        <v>11</v>
      </c>
      <c r="H45">
        <v>20</v>
      </c>
    </row>
    <row r="46" spans="1:8">
      <c r="A46" t="s">
        <v>29</v>
      </c>
      <c r="B46" t="s">
        <v>28</v>
      </c>
      <c r="C46" t="s">
        <v>27</v>
      </c>
      <c r="D46" t="s">
        <v>8</v>
      </c>
      <c r="E46" t="s">
        <v>9</v>
      </c>
      <c r="F46" t="s">
        <v>10</v>
      </c>
      <c r="G46" t="s">
        <v>11</v>
      </c>
      <c r="H46">
        <v>20.75</v>
      </c>
    </row>
    <row r="48" spans="1:8">
      <c r="G48" t="s">
        <v>14</v>
      </c>
      <c r="H48">
        <f>AVERAGE(H2:H46)</f>
        <v>17.43888888888889</v>
      </c>
    </row>
    <row r="49" spans="7:8">
      <c r="G49" t="s">
        <v>15</v>
      </c>
      <c r="H49">
        <f>_xlfn.STDEV.P(H2:H46)</f>
        <v>3.9268150635355719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9"/>
  <sheetViews>
    <sheetView workbookViewId="0">
      <selection activeCell="I48" sqref="I48"/>
    </sheetView>
  </sheetViews>
  <sheetFormatPr defaultColWidth="11" defaultRowHeight="15.75"/>
  <cols>
    <col min="4" max="4" width="24" customWidth="1"/>
    <col min="5" max="5" width="14.5" customWidth="1"/>
    <col min="6" max="6" width="13.5" customWidth="1"/>
    <col min="7" max="7" width="20.375" customWidth="1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>
      <c r="A2" t="s">
        <v>18</v>
      </c>
      <c r="B2" t="s">
        <v>26</v>
      </c>
      <c r="C2" t="s">
        <v>25</v>
      </c>
      <c r="D2" t="s">
        <v>8</v>
      </c>
      <c r="E2" t="s">
        <v>9</v>
      </c>
      <c r="F2" t="s">
        <v>10</v>
      </c>
      <c r="G2" t="s">
        <v>11</v>
      </c>
      <c r="H2">
        <v>4.25</v>
      </c>
    </row>
    <row r="3" spans="1:8">
      <c r="A3" t="s">
        <v>18</v>
      </c>
      <c r="B3" t="s">
        <v>26</v>
      </c>
      <c r="C3" t="s">
        <v>24</v>
      </c>
      <c r="D3" t="s">
        <v>8</v>
      </c>
      <c r="E3" t="s">
        <v>9</v>
      </c>
      <c r="F3" t="s">
        <v>10</v>
      </c>
      <c r="G3" t="s">
        <v>11</v>
      </c>
      <c r="H3">
        <v>7.75</v>
      </c>
    </row>
    <row r="4" spans="1:8">
      <c r="A4" t="s">
        <v>18</v>
      </c>
      <c r="B4" t="s">
        <v>26</v>
      </c>
      <c r="C4" t="s">
        <v>23</v>
      </c>
      <c r="D4" t="s">
        <v>8</v>
      </c>
      <c r="E4" t="s">
        <v>9</v>
      </c>
      <c r="F4" t="s">
        <v>10</v>
      </c>
      <c r="G4" t="s">
        <v>11</v>
      </c>
      <c r="H4">
        <v>6.5</v>
      </c>
    </row>
    <row r="5" spans="1:8">
      <c r="A5" t="s">
        <v>18</v>
      </c>
      <c r="B5" t="s">
        <v>26</v>
      </c>
      <c r="C5" t="s">
        <v>22</v>
      </c>
      <c r="D5" t="s">
        <v>8</v>
      </c>
      <c r="E5" t="s">
        <v>9</v>
      </c>
      <c r="F5" t="s">
        <v>10</v>
      </c>
      <c r="G5" t="s">
        <v>11</v>
      </c>
      <c r="H5">
        <v>6.5</v>
      </c>
    </row>
    <row r="6" spans="1:8">
      <c r="A6" t="s">
        <v>18</v>
      </c>
      <c r="B6" t="s">
        <v>26</v>
      </c>
      <c r="C6" t="s">
        <v>21</v>
      </c>
      <c r="D6" t="s">
        <v>8</v>
      </c>
      <c r="E6" t="s">
        <v>9</v>
      </c>
      <c r="F6" t="s">
        <v>10</v>
      </c>
      <c r="G6" t="s">
        <v>11</v>
      </c>
      <c r="H6">
        <v>5.25</v>
      </c>
    </row>
    <row r="7" spans="1:8">
      <c r="A7" t="s">
        <v>18</v>
      </c>
      <c r="B7" t="s">
        <v>26</v>
      </c>
      <c r="C7" t="s">
        <v>20</v>
      </c>
      <c r="D7" t="s">
        <v>8</v>
      </c>
      <c r="E7" t="s">
        <v>9</v>
      </c>
      <c r="F7" t="s">
        <v>10</v>
      </c>
      <c r="G7" t="s">
        <v>11</v>
      </c>
      <c r="H7">
        <v>12.5</v>
      </c>
    </row>
    <row r="8" spans="1:8">
      <c r="A8" t="s">
        <v>18</v>
      </c>
      <c r="B8" t="s">
        <v>26</v>
      </c>
      <c r="C8" t="s">
        <v>19</v>
      </c>
      <c r="D8" t="s">
        <v>8</v>
      </c>
      <c r="E8" t="s">
        <v>9</v>
      </c>
      <c r="F8" t="s">
        <v>10</v>
      </c>
      <c r="G8" t="s">
        <v>11</v>
      </c>
      <c r="H8">
        <v>11.25</v>
      </c>
    </row>
    <row r="9" spans="1:8">
      <c r="A9" t="s">
        <v>18</v>
      </c>
      <c r="B9" t="s">
        <v>26</v>
      </c>
      <c r="C9" t="s">
        <v>17</v>
      </c>
      <c r="D9" t="s">
        <v>8</v>
      </c>
      <c r="E9" t="s">
        <v>9</v>
      </c>
      <c r="F9" t="s">
        <v>10</v>
      </c>
      <c r="G9" t="s">
        <v>11</v>
      </c>
      <c r="H9">
        <v>9.25</v>
      </c>
    </row>
    <row r="10" spans="1:8">
      <c r="A10" t="s">
        <v>18</v>
      </c>
      <c r="B10" t="s">
        <v>26</v>
      </c>
      <c r="C10" t="s">
        <v>16</v>
      </c>
      <c r="D10" t="s">
        <v>8</v>
      </c>
      <c r="E10" t="s">
        <v>9</v>
      </c>
      <c r="F10" t="s">
        <v>10</v>
      </c>
      <c r="G10" t="s">
        <v>11</v>
      </c>
      <c r="H10">
        <v>7.25</v>
      </c>
    </row>
    <row r="11" spans="1:8">
      <c r="A11" t="s">
        <v>18</v>
      </c>
      <c r="B11" t="s">
        <v>25</v>
      </c>
      <c r="C11" t="s">
        <v>24</v>
      </c>
      <c r="D11" t="s">
        <v>8</v>
      </c>
      <c r="E11" t="s">
        <v>9</v>
      </c>
      <c r="F11" t="s">
        <v>10</v>
      </c>
      <c r="G11" t="s">
        <v>11</v>
      </c>
      <c r="H11">
        <v>5.5</v>
      </c>
    </row>
    <row r="12" spans="1:8">
      <c r="A12" t="s">
        <v>18</v>
      </c>
      <c r="B12" t="s">
        <v>25</v>
      </c>
      <c r="C12" t="s">
        <v>23</v>
      </c>
      <c r="D12" t="s">
        <v>8</v>
      </c>
      <c r="E12" t="s">
        <v>9</v>
      </c>
      <c r="F12" t="s">
        <v>10</v>
      </c>
      <c r="G12" t="s">
        <v>11</v>
      </c>
      <c r="H12">
        <v>2.25</v>
      </c>
    </row>
    <row r="13" spans="1:8">
      <c r="A13" t="s">
        <v>18</v>
      </c>
      <c r="B13" t="s">
        <v>25</v>
      </c>
      <c r="C13" t="s">
        <v>22</v>
      </c>
      <c r="D13" t="s">
        <v>8</v>
      </c>
      <c r="E13" t="s">
        <v>9</v>
      </c>
      <c r="F13" t="s">
        <v>10</v>
      </c>
      <c r="G13" t="s">
        <v>11</v>
      </c>
      <c r="H13">
        <v>4.25</v>
      </c>
    </row>
    <row r="14" spans="1:8">
      <c r="A14" t="s">
        <v>18</v>
      </c>
      <c r="B14" t="s">
        <v>25</v>
      </c>
      <c r="C14" t="s">
        <v>21</v>
      </c>
      <c r="D14" t="s">
        <v>8</v>
      </c>
      <c r="E14" t="s">
        <v>9</v>
      </c>
      <c r="F14" t="s">
        <v>10</v>
      </c>
      <c r="G14" t="s">
        <v>11</v>
      </c>
      <c r="H14">
        <v>1</v>
      </c>
    </row>
    <row r="15" spans="1:8">
      <c r="A15" t="s">
        <v>18</v>
      </c>
      <c r="B15" t="s">
        <v>25</v>
      </c>
      <c r="C15" t="s">
        <v>20</v>
      </c>
      <c r="D15" t="s">
        <v>8</v>
      </c>
      <c r="E15" t="s">
        <v>9</v>
      </c>
      <c r="F15" t="s">
        <v>10</v>
      </c>
      <c r="G15" t="s">
        <v>11</v>
      </c>
      <c r="H15">
        <v>10.25</v>
      </c>
    </row>
    <row r="16" spans="1:8">
      <c r="A16" t="s">
        <v>18</v>
      </c>
      <c r="B16" t="s">
        <v>25</v>
      </c>
      <c r="C16" t="s">
        <v>19</v>
      </c>
      <c r="D16" t="s">
        <v>8</v>
      </c>
      <c r="E16" t="s">
        <v>9</v>
      </c>
      <c r="F16" t="s">
        <v>10</v>
      </c>
      <c r="G16" t="s">
        <v>11</v>
      </c>
      <c r="H16">
        <v>7</v>
      </c>
    </row>
    <row r="17" spans="1:8">
      <c r="A17" t="s">
        <v>18</v>
      </c>
      <c r="B17" t="s">
        <v>25</v>
      </c>
      <c r="C17" t="s">
        <v>17</v>
      </c>
      <c r="D17" t="s">
        <v>8</v>
      </c>
      <c r="E17" t="s">
        <v>9</v>
      </c>
      <c r="F17" t="s">
        <v>10</v>
      </c>
      <c r="G17" t="s">
        <v>11</v>
      </c>
      <c r="H17">
        <v>7</v>
      </c>
    </row>
    <row r="18" spans="1:8">
      <c r="A18" t="s">
        <v>18</v>
      </c>
      <c r="B18" t="s">
        <v>25</v>
      </c>
      <c r="C18" t="s">
        <v>16</v>
      </c>
      <c r="D18" t="s">
        <v>8</v>
      </c>
      <c r="E18" t="s">
        <v>9</v>
      </c>
      <c r="F18" t="s">
        <v>10</v>
      </c>
      <c r="G18" t="s">
        <v>11</v>
      </c>
      <c r="H18">
        <v>6.5</v>
      </c>
    </row>
    <row r="19" spans="1:8">
      <c r="A19" t="s">
        <v>18</v>
      </c>
      <c r="B19" t="s">
        <v>24</v>
      </c>
      <c r="C19" t="s">
        <v>23</v>
      </c>
      <c r="D19" t="s">
        <v>8</v>
      </c>
      <c r="E19" t="s">
        <v>9</v>
      </c>
      <c r="F19" t="s">
        <v>10</v>
      </c>
      <c r="G19" t="s">
        <v>11</v>
      </c>
      <c r="H19">
        <v>3.25</v>
      </c>
    </row>
    <row r="20" spans="1:8">
      <c r="A20" t="s">
        <v>18</v>
      </c>
      <c r="B20" t="s">
        <v>24</v>
      </c>
      <c r="C20" t="s">
        <v>22</v>
      </c>
      <c r="D20" t="s">
        <v>8</v>
      </c>
      <c r="E20" t="s">
        <v>9</v>
      </c>
      <c r="F20" t="s">
        <v>10</v>
      </c>
      <c r="G20" t="s">
        <v>11</v>
      </c>
      <c r="H20">
        <v>3.25</v>
      </c>
    </row>
    <row r="21" spans="1:8">
      <c r="A21" t="s">
        <v>18</v>
      </c>
      <c r="B21" t="s">
        <v>24</v>
      </c>
      <c r="C21" t="s">
        <v>21</v>
      </c>
      <c r="D21" t="s">
        <v>8</v>
      </c>
      <c r="E21" t="s">
        <v>9</v>
      </c>
      <c r="F21" t="s">
        <v>10</v>
      </c>
      <c r="G21" t="s">
        <v>11</v>
      </c>
      <c r="H21">
        <v>6.5</v>
      </c>
    </row>
    <row r="22" spans="1:8">
      <c r="A22" t="s">
        <v>18</v>
      </c>
      <c r="B22" t="s">
        <v>24</v>
      </c>
      <c r="C22" t="s">
        <v>20</v>
      </c>
      <c r="D22" t="s">
        <v>8</v>
      </c>
      <c r="E22" t="s">
        <v>9</v>
      </c>
      <c r="F22" t="s">
        <v>10</v>
      </c>
      <c r="G22" t="s">
        <v>11</v>
      </c>
      <c r="H22">
        <v>6.75</v>
      </c>
    </row>
    <row r="23" spans="1:8">
      <c r="A23" t="s">
        <v>18</v>
      </c>
      <c r="B23" t="s">
        <v>24</v>
      </c>
      <c r="C23" t="s">
        <v>19</v>
      </c>
      <c r="D23" t="s">
        <v>8</v>
      </c>
      <c r="E23" t="s">
        <v>9</v>
      </c>
      <c r="F23" t="s">
        <v>10</v>
      </c>
      <c r="G23" t="s">
        <v>11</v>
      </c>
      <c r="H23">
        <v>10</v>
      </c>
    </row>
    <row r="24" spans="1:8">
      <c r="A24" t="s">
        <v>18</v>
      </c>
      <c r="B24" t="s">
        <v>24</v>
      </c>
      <c r="C24" t="s">
        <v>17</v>
      </c>
      <c r="D24" t="s">
        <v>8</v>
      </c>
      <c r="E24" t="s">
        <v>9</v>
      </c>
      <c r="F24" t="s">
        <v>10</v>
      </c>
      <c r="G24" t="s">
        <v>11</v>
      </c>
      <c r="H24">
        <v>6</v>
      </c>
    </row>
    <row r="25" spans="1:8">
      <c r="A25" t="s">
        <v>18</v>
      </c>
      <c r="B25" t="s">
        <v>24</v>
      </c>
      <c r="C25" t="s">
        <v>16</v>
      </c>
      <c r="D25" t="s">
        <v>8</v>
      </c>
      <c r="E25" t="s">
        <v>9</v>
      </c>
      <c r="F25" t="s">
        <v>10</v>
      </c>
      <c r="G25" t="s">
        <v>11</v>
      </c>
      <c r="H25">
        <v>12</v>
      </c>
    </row>
    <row r="26" spans="1:8">
      <c r="A26" t="s">
        <v>18</v>
      </c>
      <c r="B26" t="s">
        <v>23</v>
      </c>
      <c r="C26" t="s">
        <v>22</v>
      </c>
      <c r="D26" t="s">
        <v>8</v>
      </c>
      <c r="E26" t="s">
        <v>9</v>
      </c>
      <c r="F26" t="s">
        <v>10</v>
      </c>
      <c r="G26" t="s">
        <v>11</v>
      </c>
      <c r="H26">
        <v>6.5</v>
      </c>
    </row>
    <row r="27" spans="1:8">
      <c r="A27" t="s">
        <v>18</v>
      </c>
      <c r="B27" t="s">
        <v>23</v>
      </c>
      <c r="C27" t="s">
        <v>21</v>
      </c>
      <c r="D27" t="s">
        <v>8</v>
      </c>
      <c r="E27" t="s">
        <v>9</v>
      </c>
      <c r="F27" t="s">
        <v>10</v>
      </c>
      <c r="G27" t="s">
        <v>11</v>
      </c>
      <c r="H27">
        <v>3.25</v>
      </c>
    </row>
    <row r="28" spans="1:8">
      <c r="A28" t="s">
        <v>18</v>
      </c>
      <c r="B28" t="s">
        <v>23</v>
      </c>
      <c r="C28" t="s">
        <v>20</v>
      </c>
      <c r="D28" t="s">
        <v>8</v>
      </c>
      <c r="E28" t="s">
        <v>9</v>
      </c>
      <c r="F28" t="s">
        <v>10</v>
      </c>
      <c r="G28" t="s">
        <v>11</v>
      </c>
      <c r="H28">
        <v>10</v>
      </c>
    </row>
    <row r="29" spans="1:8">
      <c r="A29" t="s">
        <v>18</v>
      </c>
      <c r="B29" t="s">
        <v>23</v>
      </c>
      <c r="C29" t="s">
        <v>19</v>
      </c>
      <c r="D29" t="s">
        <v>8</v>
      </c>
      <c r="E29" t="s">
        <v>9</v>
      </c>
      <c r="F29" t="s">
        <v>10</v>
      </c>
      <c r="G29" t="s">
        <v>11</v>
      </c>
      <c r="H29">
        <v>6.75</v>
      </c>
    </row>
    <row r="30" spans="1:8">
      <c r="A30" t="s">
        <v>18</v>
      </c>
      <c r="B30" t="s">
        <v>23</v>
      </c>
      <c r="C30" t="s">
        <v>17</v>
      </c>
      <c r="D30" t="s">
        <v>8</v>
      </c>
      <c r="E30" t="s">
        <v>9</v>
      </c>
      <c r="F30" t="s">
        <v>10</v>
      </c>
      <c r="G30" t="s">
        <v>11</v>
      </c>
      <c r="H30">
        <v>9.25</v>
      </c>
    </row>
    <row r="31" spans="1:8">
      <c r="A31" t="s">
        <v>18</v>
      </c>
      <c r="B31" t="s">
        <v>23</v>
      </c>
      <c r="C31" t="s">
        <v>16</v>
      </c>
      <c r="D31" t="s">
        <v>8</v>
      </c>
      <c r="E31" t="s">
        <v>9</v>
      </c>
      <c r="F31" t="s">
        <v>10</v>
      </c>
      <c r="G31" t="s">
        <v>11</v>
      </c>
      <c r="H31">
        <v>8.75</v>
      </c>
    </row>
    <row r="32" spans="1:8">
      <c r="A32" t="s">
        <v>18</v>
      </c>
      <c r="B32" t="s">
        <v>22</v>
      </c>
      <c r="C32" t="s">
        <v>21</v>
      </c>
      <c r="D32" t="s">
        <v>8</v>
      </c>
      <c r="E32" t="s">
        <v>9</v>
      </c>
      <c r="F32" t="s">
        <v>10</v>
      </c>
      <c r="G32" t="s">
        <v>11</v>
      </c>
      <c r="H32">
        <v>3.25</v>
      </c>
    </row>
    <row r="33" spans="1:8">
      <c r="A33" t="s">
        <v>18</v>
      </c>
      <c r="B33" t="s">
        <v>22</v>
      </c>
      <c r="C33" t="s">
        <v>20</v>
      </c>
      <c r="D33" t="s">
        <v>8</v>
      </c>
      <c r="E33" t="s">
        <v>9</v>
      </c>
      <c r="F33" t="s">
        <v>10</v>
      </c>
      <c r="G33" t="s">
        <v>11</v>
      </c>
      <c r="H33">
        <v>8</v>
      </c>
    </row>
    <row r="34" spans="1:8">
      <c r="A34" t="s">
        <v>18</v>
      </c>
      <c r="B34" t="s">
        <v>22</v>
      </c>
      <c r="C34" t="s">
        <v>19</v>
      </c>
      <c r="D34" t="s">
        <v>8</v>
      </c>
      <c r="E34" t="s">
        <v>9</v>
      </c>
      <c r="F34" t="s">
        <v>10</v>
      </c>
      <c r="G34" t="s">
        <v>11</v>
      </c>
      <c r="H34">
        <v>11.25</v>
      </c>
    </row>
    <row r="35" spans="1:8">
      <c r="A35" t="s">
        <v>18</v>
      </c>
      <c r="B35" t="s">
        <v>22</v>
      </c>
      <c r="C35" t="s">
        <v>17</v>
      </c>
      <c r="D35" t="s">
        <v>8</v>
      </c>
      <c r="E35" t="s">
        <v>9</v>
      </c>
      <c r="F35" t="s">
        <v>10</v>
      </c>
      <c r="G35" t="s">
        <v>11</v>
      </c>
      <c r="H35">
        <v>2.75</v>
      </c>
    </row>
    <row r="36" spans="1:8">
      <c r="A36" t="s">
        <v>18</v>
      </c>
      <c r="B36" t="s">
        <v>22</v>
      </c>
      <c r="C36" t="s">
        <v>16</v>
      </c>
      <c r="D36" t="s">
        <v>8</v>
      </c>
      <c r="E36" t="s">
        <v>9</v>
      </c>
      <c r="F36" t="s">
        <v>10</v>
      </c>
      <c r="G36" t="s">
        <v>11</v>
      </c>
      <c r="H36">
        <v>8.75</v>
      </c>
    </row>
    <row r="37" spans="1:8">
      <c r="A37" t="s">
        <v>18</v>
      </c>
      <c r="B37" t="s">
        <v>21</v>
      </c>
      <c r="C37" t="s">
        <v>20</v>
      </c>
      <c r="D37" t="s">
        <v>8</v>
      </c>
      <c r="E37" t="s">
        <v>9</v>
      </c>
      <c r="F37" t="s">
        <v>10</v>
      </c>
      <c r="G37" t="s">
        <v>11</v>
      </c>
      <c r="H37">
        <v>11.25</v>
      </c>
    </row>
    <row r="38" spans="1:8">
      <c r="A38" t="s">
        <v>18</v>
      </c>
      <c r="B38" t="s">
        <v>21</v>
      </c>
      <c r="C38" t="s">
        <v>19</v>
      </c>
      <c r="D38" t="s">
        <v>8</v>
      </c>
      <c r="E38" t="s">
        <v>9</v>
      </c>
      <c r="F38" t="s">
        <v>10</v>
      </c>
      <c r="G38" t="s">
        <v>11</v>
      </c>
      <c r="H38">
        <v>8</v>
      </c>
    </row>
    <row r="39" spans="1:8">
      <c r="A39" t="s">
        <v>18</v>
      </c>
      <c r="B39" t="s">
        <v>21</v>
      </c>
      <c r="C39" t="s">
        <v>17</v>
      </c>
      <c r="D39" t="s">
        <v>8</v>
      </c>
      <c r="E39" t="s">
        <v>9</v>
      </c>
      <c r="F39" t="s">
        <v>10</v>
      </c>
      <c r="G39" t="s">
        <v>11</v>
      </c>
      <c r="H39">
        <v>6</v>
      </c>
    </row>
    <row r="40" spans="1:8">
      <c r="A40" t="s">
        <v>18</v>
      </c>
      <c r="B40" t="s">
        <v>21</v>
      </c>
      <c r="C40" t="s">
        <v>16</v>
      </c>
      <c r="D40" t="s">
        <v>8</v>
      </c>
      <c r="E40" t="s">
        <v>9</v>
      </c>
      <c r="F40" t="s">
        <v>10</v>
      </c>
      <c r="G40" t="s">
        <v>11</v>
      </c>
      <c r="H40">
        <v>5.5</v>
      </c>
    </row>
    <row r="41" spans="1:8">
      <c r="A41" t="s">
        <v>18</v>
      </c>
      <c r="B41" t="s">
        <v>20</v>
      </c>
      <c r="C41" t="s">
        <v>19</v>
      </c>
      <c r="D41" t="s">
        <v>8</v>
      </c>
      <c r="E41" t="s">
        <v>9</v>
      </c>
      <c r="F41" t="s">
        <v>10</v>
      </c>
      <c r="G41" t="s">
        <v>11</v>
      </c>
      <c r="H41">
        <v>3.25</v>
      </c>
    </row>
    <row r="42" spans="1:8">
      <c r="A42" t="s">
        <v>18</v>
      </c>
      <c r="B42" t="s">
        <v>20</v>
      </c>
      <c r="C42" t="s">
        <v>17</v>
      </c>
      <c r="D42" t="s">
        <v>8</v>
      </c>
      <c r="E42" t="s">
        <v>9</v>
      </c>
      <c r="F42" t="s">
        <v>10</v>
      </c>
      <c r="G42" t="s">
        <v>11</v>
      </c>
      <c r="H42">
        <v>7.25</v>
      </c>
    </row>
    <row r="43" spans="1:8">
      <c r="A43" t="s">
        <v>18</v>
      </c>
      <c r="B43" t="s">
        <v>20</v>
      </c>
      <c r="C43" t="s">
        <v>16</v>
      </c>
      <c r="D43" t="s">
        <v>8</v>
      </c>
      <c r="E43" t="s">
        <v>9</v>
      </c>
      <c r="F43" t="s">
        <v>10</v>
      </c>
      <c r="G43" t="s">
        <v>11</v>
      </c>
      <c r="H43">
        <v>13.25</v>
      </c>
    </row>
    <row r="44" spans="1:8">
      <c r="A44" t="s">
        <v>18</v>
      </c>
      <c r="B44" t="s">
        <v>19</v>
      </c>
      <c r="C44" t="s">
        <v>17</v>
      </c>
      <c r="D44" t="s">
        <v>8</v>
      </c>
      <c r="E44" t="s">
        <v>9</v>
      </c>
      <c r="F44" t="s">
        <v>10</v>
      </c>
      <c r="G44" t="s">
        <v>11</v>
      </c>
      <c r="H44">
        <v>10.5</v>
      </c>
    </row>
    <row r="45" spans="1:8">
      <c r="A45" t="s">
        <v>18</v>
      </c>
      <c r="B45" t="s">
        <v>19</v>
      </c>
      <c r="C45" t="s">
        <v>16</v>
      </c>
      <c r="D45" t="s">
        <v>8</v>
      </c>
      <c r="E45" t="s">
        <v>9</v>
      </c>
      <c r="F45" t="s">
        <v>10</v>
      </c>
      <c r="G45" t="s">
        <v>11</v>
      </c>
      <c r="H45">
        <v>10</v>
      </c>
    </row>
    <row r="46" spans="1:8">
      <c r="A46" t="s">
        <v>18</v>
      </c>
      <c r="B46" t="s">
        <v>17</v>
      </c>
      <c r="C46" t="s">
        <v>16</v>
      </c>
      <c r="D46" t="s">
        <v>8</v>
      </c>
      <c r="E46" t="s">
        <v>9</v>
      </c>
      <c r="F46" t="s">
        <v>10</v>
      </c>
      <c r="G46" t="s">
        <v>11</v>
      </c>
      <c r="H46">
        <v>6</v>
      </c>
    </row>
    <row r="48" spans="1:8">
      <c r="G48" t="s">
        <v>14</v>
      </c>
      <c r="H48">
        <f>AVERAGE(H2:H46)</f>
        <v>7.1444444444444448</v>
      </c>
    </row>
    <row r="49" spans="7:8">
      <c r="G49" t="s">
        <v>15</v>
      </c>
      <c r="H49">
        <f>_xlfn.STDEV.P(H2:H46)</f>
        <v>2.9450942679163226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49"/>
  <sheetViews>
    <sheetView workbookViewId="0">
      <selection activeCell="B13" sqref="B13"/>
    </sheetView>
  </sheetViews>
  <sheetFormatPr defaultColWidth="11" defaultRowHeight="15.75"/>
  <sheetData>
    <row r="1" spans="1:9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/>
    </row>
    <row r="2" spans="1:9">
      <c r="A2" t="s">
        <v>92</v>
      </c>
      <c r="B2" t="s">
        <v>95</v>
      </c>
      <c r="C2" t="s">
        <v>96</v>
      </c>
      <c r="D2" t="s">
        <v>8</v>
      </c>
      <c r="E2" t="s">
        <v>9</v>
      </c>
      <c r="F2" t="s">
        <v>10</v>
      </c>
      <c r="G2" t="s">
        <v>11</v>
      </c>
      <c r="H2">
        <v>6.25</v>
      </c>
      <c r="I2" s="13"/>
    </row>
    <row r="3" spans="1:9">
      <c r="A3" t="s">
        <v>92</v>
      </c>
      <c r="B3" t="s">
        <v>95</v>
      </c>
      <c r="C3" t="s">
        <v>98</v>
      </c>
      <c r="D3" t="s">
        <v>8</v>
      </c>
      <c r="E3" t="s">
        <v>9</v>
      </c>
      <c r="F3" t="s">
        <v>10</v>
      </c>
      <c r="G3" t="s">
        <v>11</v>
      </c>
      <c r="H3">
        <v>10.25</v>
      </c>
      <c r="I3" s="13"/>
    </row>
    <row r="4" spans="1:9">
      <c r="A4" t="s">
        <v>92</v>
      </c>
      <c r="B4" t="s">
        <v>95</v>
      </c>
      <c r="C4" t="s">
        <v>97</v>
      </c>
      <c r="D4" t="s">
        <v>8</v>
      </c>
      <c r="E4" t="s">
        <v>9</v>
      </c>
      <c r="F4" t="s">
        <v>10</v>
      </c>
      <c r="G4" t="s">
        <v>11</v>
      </c>
      <c r="H4">
        <v>15</v>
      </c>
      <c r="I4" s="13"/>
    </row>
    <row r="5" spans="1:9">
      <c r="A5" t="s">
        <v>92</v>
      </c>
      <c r="B5" t="s">
        <v>95</v>
      </c>
      <c r="C5" t="s">
        <v>12</v>
      </c>
      <c r="D5" t="s">
        <v>8</v>
      </c>
      <c r="E5" t="s">
        <v>9</v>
      </c>
      <c r="F5" t="s">
        <v>10</v>
      </c>
      <c r="G5" t="s">
        <v>11</v>
      </c>
      <c r="H5">
        <v>9.75</v>
      </c>
      <c r="I5" s="13"/>
    </row>
    <row r="6" spans="1:9">
      <c r="A6" t="s">
        <v>92</v>
      </c>
      <c r="B6" t="s">
        <v>95</v>
      </c>
      <c r="C6" t="s">
        <v>99</v>
      </c>
      <c r="D6" t="s">
        <v>8</v>
      </c>
      <c r="E6" t="s">
        <v>9</v>
      </c>
      <c r="F6" t="s">
        <v>10</v>
      </c>
      <c r="G6" t="s">
        <v>11</v>
      </c>
      <c r="H6">
        <v>10.5</v>
      </c>
      <c r="I6" s="13"/>
    </row>
    <row r="7" spans="1:9">
      <c r="A7" t="s">
        <v>92</v>
      </c>
      <c r="B7" t="s">
        <v>95</v>
      </c>
      <c r="C7" t="s">
        <v>100</v>
      </c>
      <c r="D7" t="s">
        <v>8</v>
      </c>
      <c r="E7" t="s">
        <v>9</v>
      </c>
      <c r="F7" t="s">
        <v>10</v>
      </c>
      <c r="G7" t="s">
        <v>11</v>
      </c>
      <c r="H7">
        <v>18</v>
      </c>
      <c r="I7" s="13"/>
    </row>
    <row r="8" spans="1:9">
      <c r="A8" t="s">
        <v>92</v>
      </c>
      <c r="B8" t="s">
        <v>95</v>
      </c>
      <c r="C8" t="s">
        <v>102</v>
      </c>
      <c r="D8" t="s">
        <v>8</v>
      </c>
      <c r="E8" t="s">
        <v>9</v>
      </c>
      <c r="F8" t="s">
        <v>10</v>
      </c>
      <c r="G8" t="s">
        <v>11</v>
      </c>
      <c r="H8">
        <v>8.75</v>
      </c>
      <c r="I8" s="13"/>
    </row>
    <row r="9" spans="1:9">
      <c r="A9" t="s">
        <v>92</v>
      </c>
      <c r="B9" t="s">
        <v>95</v>
      </c>
      <c r="C9" t="s">
        <v>101</v>
      </c>
      <c r="D9" t="s">
        <v>8</v>
      </c>
      <c r="E9" t="s">
        <v>9</v>
      </c>
      <c r="F9" t="s">
        <v>10</v>
      </c>
      <c r="G9" t="s">
        <v>11</v>
      </c>
      <c r="H9">
        <v>15.25</v>
      </c>
      <c r="I9" s="13"/>
    </row>
    <row r="10" spans="1:9">
      <c r="A10" t="s">
        <v>92</v>
      </c>
      <c r="B10" t="s">
        <v>95</v>
      </c>
      <c r="C10" t="s">
        <v>13</v>
      </c>
      <c r="D10" t="s">
        <v>8</v>
      </c>
      <c r="E10" t="s">
        <v>9</v>
      </c>
      <c r="F10" t="s">
        <v>10</v>
      </c>
      <c r="G10" t="s">
        <v>11</v>
      </c>
      <c r="H10">
        <v>11.75</v>
      </c>
      <c r="I10" s="13"/>
    </row>
    <row r="11" spans="1:9">
      <c r="A11" t="s">
        <v>92</v>
      </c>
      <c r="B11" t="s">
        <v>96</v>
      </c>
      <c r="C11" t="s">
        <v>98</v>
      </c>
      <c r="D11" t="s">
        <v>8</v>
      </c>
      <c r="E11" t="s">
        <v>9</v>
      </c>
      <c r="F11" t="s">
        <v>10</v>
      </c>
      <c r="G11" t="s">
        <v>11</v>
      </c>
      <c r="H11">
        <v>8</v>
      </c>
      <c r="I11" s="13"/>
    </row>
    <row r="12" spans="1:9">
      <c r="A12" t="s">
        <v>92</v>
      </c>
      <c r="B12" t="s">
        <v>96</v>
      </c>
      <c r="C12" t="s">
        <v>97</v>
      </c>
      <c r="D12" t="s">
        <v>8</v>
      </c>
      <c r="E12" t="s">
        <v>9</v>
      </c>
      <c r="F12" t="s">
        <v>10</v>
      </c>
      <c r="G12" t="s">
        <v>11</v>
      </c>
      <c r="H12">
        <v>12.75</v>
      </c>
      <c r="I12" s="13"/>
    </row>
    <row r="13" spans="1:9">
      <c r="A13" t="s">
        <v>92</v>
      </c>
      <c r="B13" t="s">
        <v>96</v>
      </c>
      <c r="C13" t="s">
        <v>12</v>
      </c>
      <c r="D13" t="s">
        <v>8</v>
      </c>
      <c r="E13" t="s">
        <v>9</v>
      </c>
      <c r="F13" t="s">
        <v>10</v>
      </c>
      <c r="G13" t="s">
        <v>11</v>
      </c>
      <c r="H13">
        <v>9.5</v>
      </c>
      <c r="I13" s="13"/>
    </row>
    <row r="14" spans="1:9">
      <c r="A14" t="s">
        <v>92</v>
      </c>
      <c r="B14" t="s">
        <v>96</v>
      </c>
      <c r="C14" t="s">
        <v>99</v>
      </c>
      <c r="D14" t="s">
        <v>8</v>
      </c>
      <c r="E14" t="s">
        <v>9</v>
      </c>
      <c r="F14" t="s">
        <v>10</v>
      </c>
      <c r="G14" t="s">
        <v>11</v>
      </c>
      <c r="H14">
        <v>4.25</v>
      </c>
      <c r="I14" s="13"/>
    </row>
    <row r="15" spans="1:9">
      <c r="A15" t="s">
        <v>92</v>
      </c>
      <c r="B15" t="s">
        <v>96</v>
      </c>
      <c r="C15" t="s">
        <v>100</v>
      </c>
      <c r="D15" t="s">
        <v>8</v>
      </c>
      <c r="E15" t="s">
        <v>9</v>
      </c>
      <c r="F15" t="s">
        <v>10</v>
      </c>
      <c r="G15" t="s">
        <v>11</v>
      </c>
      <c r="H15">
        <v>17.25</v>
      </c>
      <c r="I15" s="13"/>
    </row>
    <row r="16" spans="1:9">
      <c r="A16" t="s">
        <v>92</v>
      </c>
      <c r="B16" t="s">
        <v>96</v>
      </c>
      <c r="C16" t="s">
        <v>102</v>
      </c>
      <c r="D16" t="s">
        <v>8</v>
      </c>
      <c r="E16" t="s">
        <v>9</v>
      </c>
      <c r="F16" t="s">
        <v>10</v>
      </c>
      <c r="G16" t="s">
        <v>11</v>
      </c>
      <c r="H16">
        <v>9</v>
      </c>
      <c r="I16" s="13"/>
    </row>
    <row r="17" spans="1:9">
      <c r="A17" t="s">
        <v>92</v>
      </c>
      <c r="B17" t="s">
        <v>96</v>
      </c>
      <c r="C17" t="s">
        <v>101</v>
      </c>
      <c r="D17" t="s">
        <v>8</v>
      </c>
      <c r="E17" t="s">
        <v>9</v>
      </c>
      <c r="F17" t="s">
        <v>10</v>
      </c>
      <c r="G17" t="s">
        <v>11</v>
      </c>
      <c r="H17">
        <v>11</v>
      </c>
      <c r="I17" s="13"/>
    </row>
    <row r="18" spans="1:9">
      <c r="A18" t="s">
        <v>92</v>
      </c>
      <c r="B18" t="s">
        <v>96</v>
      </c>
      <c r="C18" t="s">
        <v>13</v>
      </c>
      <c r="D18" t="s">
        <v>8</v>
      </c>
      <c r="E18" t="s">
        <v>9</v>
      </c>
      <c r="F18" t="s">
        <v>10</v>
      </c>
      <c r="G18" t="s">
        <v>11</v>
      </c>
      <c r="H18">
        <v>9.5</v>
      </c>
      <c r="I18" s="13"/>
    </row>
    <row r="19" spans="1:9">
      <c r="A19" t="s">
        <v>92</v>
      </c>
      <c r="B19" t="s">
        <v>98</v>
      </c>
      <c r="C19" t="s">
        <v>97</v>
      </c>
      <c r="D19" t="s">
        <v>8</v>
      </c>
      <c r="E19" t="s">
        <v>9</v>
      </c>
      <c r="F19" t="s">
        <v>10</v>
      </c>
      <c r="G19" t="s">
        <v>11</v>
      </c>
      <c r="H19">
        <v>8.75</v>
      </c>
      <c r="I19" s="13"/>
    </row>
    <row r="20" spans="1:9">
      <c r="A20" t="s">
        <v>92</v>
      </c>
      <c r="B20" t="s">
        <v>98</v>
      </c>
      <c r="C20" t="s">
        <v>12</v>
      </c>
      <c r="D20" t="s">
        <v>8</v>
      </c>
      <c r="E20" t="s">
        <v>9</v>
      </c>
      <c r="F20" t="s">
        <v>10</v>
      </c>
      <c r="G20" t="s">
        <v>11</v>
      </c>
      <c r="H20">
        <v>13.5</v>
      </c>
      <c r="I20" s="13"/>
    </row>
    <row r="21" spans="1:9">
      <c r="A21" t="s">
        <v>92</v>
      </c>
      <c r="B21" t="s">
        <v>98</v>
      </c>
      <c r="C21" t="s">
        <v>99</v>
      </c>
      <c r="D21" t="s">
        <v>8</v>
      </c>
      <c r="E21" t="s">
        <v>9</v>
      </c>
      <c r="F21" t="s">
        <v>10</v>
      </c>
      <c r="G21" t="s">
        <v>11</v>
      </c>
      <c r="H21">
        <v>12.25</v>
      </c>
      <c r="I21" s="13"/>
    </row>
    <row r="22" spans="1:9">
      <c r="A22" t="s">
        <v>92</v>
      </c>
      <c r="B22" t="s">
        <v>98</v>
      </c>
      <c r="C22" t="s">
        <v>100</v>
      </c>
      <c r="D22" t="s">
        <v>8</v>
      </c>
      <c r="E22" t="s">
        <v>9</v>
      </c>
      <c r="F22" t="s">
        <v>10</v>
      </c>
      <c r="G22" t="s">
        <v>11</v>
      </c>
      <c r="H22">
        <v>19.25</v>
      </c>
      <c r="I22" s="13"/>
    </row>
    <row r="23" spans="1:9">
      <c r="A23" t="s">
        <v>92</v>
      </c>
      <c r="B23" t="s">
        <v>98</v>
      </c>
      <c r="C23" t="s">
        <v>102</v>
      </c>
      <c r="D23" t="s">
        <v>8</v>
      </c>
      <c r="E23" t="s">
        <v>9</v>
      </c>
      <c r="F23" t="s">
        <v>10</v>
      </c>
      <c r="G23" t="s">
        <v>11</v>
      </c>
      <c r="H23">
        <v>11.5</v>
      </c>
      <c r="I23" s="13"/>
    </row>
    <row r="24" spans="1:9">
      <c r="A24" t="s">
        <v>92</v>
      </c>
      <c r="B24" t="s">
        <v>98</v>
      </c>
      <c r="C24" t="s">
        <v>101</v>
      </c>
      <c r="D24" t="s">
        <v>8</v>
      </c>
      <c r="E24" t="s">
        <v>9</v>
      </c>
      <c r="F24" t="s">
        <v>10</v>
      </c>
      <c r="G24" t="s">
        <v>11</v>
      </c>
      <c r="H24">
        <v>11.5</v>
      </c>
      <c r="I24" s="13"/>
    </row>
    <row r="25" spans="1:9">
      <c r="A25" t="s">
        <v>92</v>
      </c>
      <c r="B25" t="s">
        <v>98</v>
      </c>
      <c r="C25" t="s">
        <v>13</v>
      </c>
      <c r="D25" t="s">
        <v>8</v>
      </c>
      <c r="E25" t="s">
        <v>9</v>
      </c>
      <c r="F25" t="s">
        <v>10</v>
      </c>
      <c r="G25" t="s">
        <v>11</v>
      </c>
      <c r="H25">
        <v>11</v>
      </c>
      <c r="I25" s="13"/>
    </row>
    <row r="26" spans="1:9">
      <c r="A26" t="s">
        <v>92</v>
      </c>
      <c r="B26" t="s">
        <v>97</v>
      </c>
      <c r="C26" t="s">
        <v>12</v>
      </c>
      <c r="D26" t="s">
        <v>8</v>
      </c>
      <c r="E26" t="s">
        <v>9</v>
      </c>
      <c r="F26" t="s">
        <v>10</v>
      </c>
      <c r="G26" t="s">
        <v>11</v>
      </c>
      <c r="H26">
        <v>9.25</v>
      </c>
      <c r="I26" s="13"/>
    </row>
    <row r="27" spans="1:9">
      <c r="A27" t="s">
        <v>92</v>
      </c>
      <c r="B27" t="s">
        <v>97</v>
      </c>
      <c r="C27" t="s">
        <v>99</v>
      </c>
      <c r="D27" t="s">
        <v>8</v>
      </c>
      <c r="E27" t="s">
        <v>9</v>
      </c>
      <c r="F27" t="s">
        <v>10</v>
      </c>
      <c r="G27" t="s">
        <v>11</v>
      </c>
      <c r="H27">
        <v>14.5</v>
      </c>
      <c r="I27" s="13"/>
    </row>
    <row r="28" spans="1:9">
      <c r="A28" t="s">
        <v>92</v>
      </c>
      <c r="B28" t="s">
        <v>97</v>
      </c>
      <c r="C28" t="s">
        <v>100</v>
      </c>
      <c r="D28" t="s">
        <v>8</v>
      </c>
      <c r="E28" t="s">
        <v>9</v>
      </c>
      <c r="F28" t="s">
        <v>10</v>
      </c>
      <c r="G28" t="s">
        <v>11</v>
      </c>
      <c r="H28">
        <v>12</v>
      </c>
      <c r="I28" s="13"/>
    </row>
    <row r="29" spans="1:9">
      <c r="A29" t="s">
        <v>92</v>
      </c>
      <c r="B29" t="s">
        <v>97</v>
      </c>
      <c r="C29" t="s">
        <v>102</v>
      </c>
      <c r="D29" t="s">
        <v>8</v>
      </c>
      <c r="E29" t="s">
        <v>9</v>
      </c>
      <c r="F29" t="s">
        <v>10</v>
      </c>
      <c r="G29" t="s">
        <v>11</v>
      </c>
      <c r="H29">
        <v>16.25</v>
      </c>
      <c r="I29" s="13"/>
    </row>
    <row r="30" spans="1:9">
      <c r="A30" t="s">
        <v>92</v>
      </c>
      <c r="B30" t="s">
        <v>97</v>
      </c>
      <c r="C30" t="s">
        <v>101</v>
      </c>
      <c r="D30" t="s">
        <v>8</v>
      </c>
      <c r="E30" t="s">
        <v>9</v>
      </c>
      <c r="F30" t="s">
        <v>10</v>
      </c>
      <c r="G30" t="s">
        <v>11</v>
      </c>
      <c r="H30">
        <v>10.75</v>
      </c>
      <c r="I30" s="13"/>
    </row>
    <row r="31" spans="1:9">
      <c r="A31" t="s">
        <v>92</v>
      </c>
      <c r="B31" t="s">
        <v>97</v>
      </c>
      <c r="C31" t="s">
        <v>13</v>
      </c>
      <c r="D31" t="s">
        <v>8</v>
      </c>
      <c r="E31" t="s">
        <v>9</v>
      </c>
      <c r="F31" t="s">
        <v>10</v>
      </c>
      <c r="G31" t="s">
        <v>11</v>
      </c>
      <c r="H31">
        <v>17.75</v>
      </c>
      <c r="I31" s="13"/>
    </row>
    <row r="32" spans="1:9">
      <c r="A32" t="s">
        <v>92</v>
      </c>
      <c r="B32" t="s">
        <v>12</v>
      </c>
      <c r="C32" t="s">
        <v>99</v>
      </c>
      <c r="D32" t="s">
        <v>8</v>
      </c>
      <c r="E32" t="s">
        <v>9</v>
      </c>
      <c r="F32" t="s">
        <v>10</v>
      </c>
      <c r="G32" t="s">
        <v>11</v>
      </c>
      <c r="H32">
        <v>10.75</v>
      </c>
      <c r="I32" s="13"/>
    </row>
    <row r="33" spans="1:9">
      <c r="A33" t="s">
        <v>92</v>
      </c>
      <c r="B33" t="s">
        <v>12</v>
      </c>
      <c r="C33" t="s">
        <v>100</v>
      </c>
      <c r="D33" t="s">
        <v>8</v>
      </c>
      <c r="E33" t="s">
        <v>9</v>
      </c>
      <c r="F33" t="s">
        <v>10</v>
      </c>
      <c r="G33" t="s">
        <v>11</v>
      </c>
      <c r="H33">
        <v>14.75</v>
      </c>
      <c r="I33" s="13"/>
    </row>
    <row r="34" spans="1:9">
      <c r="A34" t="s">
        <v>92</v>
      </c>
      <c r="B34" t="s">
        <v>12</v>
      </c>
      <c r="C34" t="s">
        <v>102</v>
      </c>
      <c r="D34" t="s">
        <v>8</v>
      </c>
      <c r="E34" t="s">
        <v>9</v>
      </c>
      <c r="F34" t="s">
        <v>10</v>
      </c>
      <c r="G34" t="s">
        <v>11</v>
      </c>
      <c r="H34">
        <v>16.5</v>
      </c>
      <c r="I34" s="13"/>
    </row>
    <row r="35" spans="1:9">
      <c r="A35" t="s">
        <v>92</v>
      </c>
      <c r="B35" t="s">
        <v>12</v>
      </c>
      <c r="C35" t="s">
        <v>101</v>
      </c>
      <c r="D35" t="s">
        <v>8</v>
      </c>
      <c r="E35" t="s">
        <v>9</v>
      </c>
      <c r="F35" t="s">
        <v>10</v>
      </c>
      <c r="G35" t="s">
        <v>11</v>
      </c>
      <c r="H35">
        <v>10</v>
      </c>
      <c r="I35" s="13"/>
    </row>
    <row r="36" spans="1:9">
      <c r="A36" t="s">
        <v>92</v>
      </c>
      <c r="B36" t="s">
        <v>12</v>
      </c>
      <c r="C36" t="s">
        <v>13</v>
      </c>
      <c r="D36" t="s">
        <v>8</v>
      </c>
      <c r="E36" t="s">
        <v>9</v>
      </c>
      <c r="F36" t="s">
        <v>10</v>
      </c>
      <c r="G36" t="s">
        <v>11</v>
      </c>
      <c r="H36">
        <v>15</v>
      </c>
      <c r="I36" s="13"/>
    </row>
    <row r="37" spans="1:9">
      <c r="A37" t="s">
        <v>92</v>
      </c>
      <c r="B37" t="s">
        <v>99</v>
      </c>
      <c r="C37" t="s">
        <v>100</v>
      </c>
      <c r="D37" t="s">
        <v>8</v>
      </c>
      <c r="E37" t="s">
        <v>9</v>
      </c>
      <c r="F37" t="s">
        <v>10</v>
      </c>
      <c r="G37" t="s">
        <v>11</v>
      </c>
      <c r="H37">
        <v>18.5</v>
      </c>
      <c r="I37" s="13"/>
    </row>
    <row r="38" spans="1:9">
      <c r="A38" t="s">
        <v>92</v>
      </c>
      <c r="B38" t="s">
        <v>99</v>
      </c>
      <c r="C38" t="s">
        <v>102</v>
      </c>
      <c r="D38" t="s">
        <v>8</v>
      </c>
      <c r="E38" t="s">
        <v>9</v>
      </c>
      <c r="F38" t="s">
        <v>10</v>
      </c>
      <c r="G38" t="s">
        <v>11</v>
      </c>
      <c r="H38">
        <v>7.25</v>
      </c>
      <c r="I38" s="13"/>
    </row>
    <row r="39" spans="1:9">
      <c r="A39" t="s">
        <v>92</v>
      </c>
      <c r="B39" t="s">
        <v>99</v>
      </c>
      <c r="C39" t="s">
        <v>101</v>
      </c>
      <c r="D39" t="s">
        <v>8</v>
      </c>
      <c r="E39" t="s">
        <v>9</v>
      </c>
      <c r="F39" t="s">
        <v>10</v>
      </c>
      <c r="G39" t="s">
        <v>11</v>
      </c>
      <c r="H39">
        <v>8.25</v>
      </c>
      <c r="I39" s="13"/>
    </row>
    <row r="40" spans="1:9">
      <c r="A40" t="s">
        <v>92</v>
      </c>
      <c r="B40" t="s">
        <v>99</v>
      </c>
      <c r="C40" t="s">
        <v>13</v>
      </c>
      <c r="D40" t="s">
        <v>8</v>
      </c>
      <c r="E40" t="s">
        <v>9</v>
      </c>
      <c r="F40" t="s">
        <v>10</v>
      </c>
      <c r="G40" t="s">
        <v>11</v>
      </c>
      <c r="H40">
        <v>13.75</v>
      </c>
      <c r="I40" s="13"/>
    </row>
    <row r="41" spans="1:9">
      <c r="A41" t="s">
        <v>92</v>
      </c>
      <c r="B41" t="s">
        <v>100</v>
      </c>
      <c r="C41" t="s">
        <v>102</v>
      </c>
      <c r="D41" t="s">
        <v>8</v>
      </c>
      <c r="E41" t="s">
        <v>9</v>
      </c>
      <c r="F41" t="s">
        <v>10</v>
      </c>
      <c r="G41" t="s">
        <v>11</v>
      </c>
      <c r="H41">
        <v>17.25</v>
      </c>
      <c r="I41" s="13"/>
    </row>
    <row r="42" spans="1:9">
      <c r="A42" t="s">
        <v>92</v>
      </c>
      <c r="B42" t="s">
        <v>100</v>
      </c>
      <c r="C42" t="s">
        <v>101</v>
      </c>
      <c r="D42" t="s">
        <v>8</v>
      </c>
      <c r="E42" t="s">
        <v>9</v>
      </c>
      <c r="F42" t="s">
        <v>10</v>
      </c>
      <c r="G42" t="s">
        <v>11</v>
      </c>
      <c r="H42">
        <v>14.25</v>
      </c>
      <c r="I42" s="13"/>
    </row>
    <row r="43" spans="1:9">
      <c r="A43" t="s">
        <v>92</v>
      </c>
      <c r="B43" t="s">
        <v>100</v>
      </c>
      <c r="C43" t="s">
        <v>13</v>
      </c>
      <c r="D43" t="s">
        <v>8</v>
      </c>
      <c r="E43" t="s">
        <v>9</v>
      </c>
      <c r="F43" t="s">
        <v>10</v>
      </c>
      <c r="G43" t="s">
        <v>11</v>
      </c>
      <c r="H43">
        <v>18.25</v>
      </c>
      <c r="I43" s="13"/>
    </row>
    <row r="44" spans="1:9">
      <c r="A44" t="s">
        <v>92</v>
      </c>
      <c r="B44" t="s">
        <v>102</v>
      </c>
      <c r="C44" t="s">
        <v>101</v>
      </c>
      <c r="D44" t="s">
        <v>8</v>
      </c>
      <c r="E44" t="s">
        <v>9</v>
      </c>
      <c r="F44" t="s">
        <v>10</v>
      </c>
      <c r="G44" t="s">
        <v>11</v>
      </c>
      <c r="H44">
        <v>8.5</v>
      </c>
      <c r="I44" s="13"/>
    </row>
    <row r="45" spans="1:9">
      <c r="A45" t="s">
        <v>92</v>
      </c>
      <c r="B45" t="s">
        <v>102</v>
      </c>
      <c r="C45" t="s">
        <v>13</v>
      </c>
      <c r="D45" t="s">
        <v>8</v>
      </c>
      <c r="E45" t="s">
        <v>9</v>
      </c>
      <c r="F45" t="s">
        <v>10</v>
      </c>
      <c r="G45" t="s">
        <v>11</v>
      </c>
      <c r="H45">
        <v>18.5</v>
      </c>
      <c r="I45" s="13"/>
    </row>
    <row r="46" spans="1:9">
      <c r="A46" t="s">
        <v>92</v>
      </c>
      <c r="B46" t="s">
        <v>101</v>
      </c>
      <c r="C46" t="s">
        <v>13</v>
      </c>
      <c r="D46" t="s">
        <v>8</v>
      </c>
      <c r="E46" t="s">
        <v>9</v>
      </c>
      <c r="F46" t="s">
        <v>10</v>
      </c>
      <c r="G46" t="s">
        <v>11</v>
      </c>
      <c r="H46">
        <v>17</v>
      </c>
      <c r="I46" s="13"/>
    </row>
    <row r="47" spans="1:9">
      <c r="A47" s="13"/>
      <c r="B47" s="13"/>
      <c r="C47" s="13"/>
      <c r="D47" s="13"/>
      <c r="E47" s="13"/>
      <c r="F47" s="13"/>
      <c r="G47" s="13"/>
      <c r="H47" s="13"/>
      <c r="I47" s="13"/>
    </row>
    <row r="48" spans="1:9">
      <c r="A48" s="13"/>
      <c r="B48" s="13"/>
      <c r="C48" s="13"/>
      <c r="D48" s="13"/>
      <c r="E48" s="13"/>
      <c r="F48" s="13"/>
      <c r="G48" s="13" t="s">
        <v>14</v>
      </c>
      <c r="H48" s="13">
        <v>11.9777778</v>
      </c>
      <c r="I48" s="13"/>
    </row>
    <row r="49" spans="1:9">
      <c r="A49" s="13"/>
      <c r="B49" s="13"/>
      <c r="C49" s="13"/>
      <c r="D49" s="13"/>
      <c r="E49" s="13"/>
      <c r="F49" s="13"/>
      <c r="G49" s="13" t="s">
        <v>15</v>
      </c>
      <c r="H49" s="13">
        <v>3.5401750700000001</v>
      </c>
      <c r="I49" s="13"/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4"/>
  <sheetViews>
    <sheetView workbookViewId="0">
      <pane ySplit="1" topLeftCell="A2" activePane="bottomLeft" state="frozen"/>
      <selection pane="bottomLeft" activeCell="O33" sqref="O33"/>
    </sheetView>
  </sheetViews>
  <sheetFormatPr defaultColWidth="11" defaultRowHeight="15.75"/>
  <cols>
    <col min="2" max="2" width="7.625" customWidth="1"/>
    <col min="4" max="4" width="8.375" customWidth="1"/>
    <col min="5" max="5" width="8.125" customWidth="1"/>
    <col min="6" max="6" width="6.625" customWidth="1"/>
    <col min="7" max="7" width="8.875" customWidth="1"/>
    <col min="8" max="8" width="8.125" customWidth="1"/>
    <col min="9" max="9" width="8.5" customWidth="1"/>
    <col min="10" max="10" width="7.625" customWidth="1"/>
    <col min="11" max="11" width="6.625" customWidth="1"/>
  </cols>
  <sheetData>
    <row r="1" spans="1:17">
      <c r="A1" t="s">
        <v>81</v>
      </c>
      <c r="B1" t="s">
        <v>71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93</v>
      </c>
      <c r="M1" t="s">
        <v>86</v>
      </c>
      <c r="N1" t="s">
        <v>87</v>
      </c>
      <c r="O1" t="s">
        <v>94</v>
      </c>
      <c r="P1" t="s">
        <v>89</v>
      </c>
      <c r="Q1" t="s">
        <v>90</v>
      </c>
    </row>
    <row r="2" spans="1:17">
      <c r="A2" s="4" t="s">
        <v>84</v>
      </c>
      <c r="B2" s="5" t="s">
        <v>96</v>
      </c>
      <c r="C2" s="5">
        <v>225291</v>
      </c>
      <c r="D2" s="5">
        <v>8350</v>
      </c>
      <c r="E2" s="5">
        <v>121176</v>
      </c>
      <c r="F2" s="5">
        <v>8308</v>
      </c>
      <c r="G2" s="5">
        <v>4417.47</v>
      </c>
      <c r="H2" s="5">
        <v>5.3526999999999996</v>
      </c>
      <c r="I2" s="5">
        <v>99.55</v>
      </c>
      <c r="J2" s="5">
        <v>3.9217</v>
      </c>
      <c r="K2" s="5">
        <v>3</v>
      </c>
      <c r="L2">
        <f t="shared" ref="L2:L31" si="0">IF(A2="Alternate",G2,"")</f>
        <v>4417.47</v>
      </c>
      <c r="M2" t="str">
        <f t="shared" ref="M2:M31" si="1">IF(A2="Dissimilar",G2,"")</f>
        <v/>
      </c>
      <c r="N2" t="str">
        <f t="shared" ref="N2:N31" si="2">IF(A2="Similar",G2,"")</f>
        <v/>
      </c>
      <c r="O2">
        <f t="shared" ref="O2:O31" si="3">IF(A2="Alternate",I2,"")</f>
        <v>99.55</v>
      </c>
      <c r="P2" t="str">
        <f t="shared" ref="P2:P31" si="4">IF(A2="Dissimilar", I2,"")</f>
        <v/>
      </c>
      <c r="Q2" t="str">
        <f t="shared" ref="Q2:Q31" si="5">IF(A2="Similar",I2,"")</f>
        <v/>
      </c>
    </row>
    <row r="3" spans="1:17">
      <c r="A3" s="4" t="s">
        <v>84</v>
      </c>
      <c r="B3" s="5" t="s">
        <v>102</v>
      </c>
      <c r="C3" s="5">
        <v>43605</v>
      </c>
      <c r="D3" s="5">
        <v>7619</v>
      </c>
      <c r="E3" s="5">
        <v>41204</v>
      </c>
      <c r="F3" s="5">
        <v>7559</v>
      </c>
      <c r="G3" s="5">
        <v>855</v>
      </c>
      <c r="H3" s="5">
        <v>4.6395</v>
      </c>
      <c r="I3" s="5">
        <v>90.83</v>
      </c>
      <c r="J3" s="5">
        <v>3.8820000000000001</v>
      </c>
      <c r="K3" s="5">
        <v>4</v>
      </c>
      <c r="L3">
        <f t="shared" si="0"/>
        <v>855</v>
      </c>
      <c r="M3" t="str">
        <f t="shared" si="1"/>
        <v/>
      </c>
      <c r="N3" t="str">
        <f t="shared" si="2"/>
        <v/>
      </c>
      <c r="O3">
        <f t="shared" si="3"/>
        <v>90.83</v>
      </c>
      <c r="P3" t="str">
        <f t="shared" si="4"/>
        <v/>
      </c>
      <c r="Q3" t="str">
        <f t="shared" si="5"/>
        <v/>
      </c>
    </row>
    <row r="4" spans="1:17">
      <c r="A4" s="4" t="s">
        <v>84</v>
      </c>
      <c r="B4" s="5" t="s">
        <v>12</v>
      </c>
      <c r="C4" s="5">
        <v>4995</v>
      </c>
      <c r="D4" s="5">
        <v>2568</v>
      </c>
      <c r="E4" s="5">
        <v>4767</v>
      </c>
      <c r="F4" s="5">
        <v>2516</v>
      </c>
      <c r="G4" s="5">
        <v>97.94</v>
      </c>
      <c r="H4" s="5">
        <v>3.6985999999999999</v>
      </c>
      <c r="I4" s="5">
        <v>30.62</v>
      </c>
      <c r="J4" s="5">
        <v>3.4098000000000002</v>
      </c>
      <c r="K4" s="5">
        <v>4</v>
      </c>
      <c r="L4">
        <f t="shared" si="0"/>
        <v>97.94</v>
      </c>
      <c r="M4" t="str">
        <f t="shared" si="1"/>
        <v/>
      </c>
      <c r="N4" t="str">
        <f t="shared" si="2"/>
        <v/>
      </c>
      <c r="O4">
        <f t="shared" si="3"/>
        <v>30.62</v>
      </c>
      <c r="P4" t="str">
        <f t="shared" si="4"/>
        <v/>
      </c>
      <c r="Q4" t="str">
        <f t="shared" si="5"/>
        <v/>
      </c>
    </row>
    <row r="5" spans="1:17">
      <c r="A5" s="4" t="s">
        <v>84</v>
      </c>
      <c r="B5" s="5" t="s">
        <v>95</v>
      </c>
      <c r="C5" s="5">
        <v>2600</v>
      </c>
      <c r="D5" s="5">
        <v>1643</v>
      </c>
      <c r="E5" s="5">
        <v>2388</v>
      </c>
      <c r="F5" s="5">
        <v>1543</v>
      </c>
      <c r="G5" s="5">
        <v>50.98</v>
      </c>
      <c r="H5" s="5">
        <v>3.4150999999999998</v>
      </c>
      <c r="I5" s="5">
        <v>19.59</v>
      </c>
      <c r="J5" s="5">
        <v>3.2159</v>
      </c>
      <c r="K5" s="5">
        <v>3</v>
      </c>
      <c r="L5">
        <f t="shared" si="0"/>
        <v>50.98</v>
      </c>
      <c r="M5" t="str">
        <f t="shared" si="1"/>
        <v/>
      </c>
      <c r="N5" t="str">
        <f t="shared" si="2"/>
        <v/>
      </c>
      <c r="O5">
        <f t="shared" si="3"/>
        <v>19.59</v>
      </c>
      <c r="P5" t="str">
        <f t="shared" si="4"/>
        <v/>
      </c>
      <c r="Q5" t="str">
        <f t="shared" si="5"/>
        <v/>
      </c>
    </row>
    <row r="6" spans="1:17">
      <c r="A6" s="4" t="s">
        <v>84</v>
      </c>
      <c r="B6" s="5" t="s">
        <v>13</v>
      </c>
      <c r="C6" s="5">
        <v>2000</v>
      </c>
      <c r="D6" s="5">
        <v>1405</v>
      </c>
      <c r="E6" s="5">
        <v>1851</v>
      </c>
      <c r="F6" s="5">
        <v>1352</v>
      </c>
      <c r="G6" s="5">
        <v>39.22</v>
      </c>
      <c r="H6" s="5">
        <v>3.3012000000000001</v>
      </c>
      <c r="I6" s="5">
        <v>16.75</v>
      </c>
      <c r="J6" s="5">
        <v>3.1480000000000001</v>
      </c>
      <c r="K6" s="5">
        <v>3</v>
      </c>
      <c r="L6">
        <f t="shared" si="0"/>
        <v>39.22</v>
      </c>
      <c r="M6" t="str">
        <f t="shared" si="1"/>
        <v/>
      </c>
      <c r="N6" t="str">
        <f t="shared" si="2"/>
        <v/>
      </c>
      <c r="O6">
        <f t="shared" si="3"/>
        <v>16.75</v>
      </c>
      <c r="P6" t="str">
        <f t="shared" si="4"/>
        <v/>
      </c>
      <c r="Q6" t="str">
        <f t="shared" si="5"/>
        <v/>
      </c>
    </row>
    <row r="7" spans="1:17">
      <c r="A7" s="4" t="s">
        <v>84</v>
      </c>
      <c r="B7" s="5" t="s">
        <v>99</v>
      </c>
      <c r="C7" s="5">
        <v>1149</v>
      </c>
      <c r="D7" s="5">
        <v>763</v>
      </c>
      <c r="E7" s="5">
        <v>1084</v>
      </c>
      <c r="F7" s="5">
        <v>736</v>
      </c>
      <c r="G7" s="5">
        <v>22.53</v>
      </c>
      <c r="H7" s="5">
        <v>3.0607000000000002</v>
      </c>
      <c r="I7" s="5">
        <v>9.1</v>
      </c>
      <c r="J7" s="5">
        <v>2.8831000000000002</v>
      </c>
      <c r="K7" s="5">
        <v>3</v>
      </c>
      <c r="L7">
        <f t="shared" si="0"/>
        <v>22.53</v>
      </c>
      <c r="M7" t="str">
        <f t="shared" si="1"/>
        <v/>
      </c>
      <c r="N7" t="str">
        <f t="shared" si="2"/>
        <v/>
      </c>
      <c r="O7">
        <f t="shared" si="3"/>
        <v>9.1</v>
      </c>
      <c r="P7" t="str">
        <f t="shared" si="4"/>
        <v/>
      </c>
      <c r="Q7" t="str">
        <f t="shared" si="5"/>
        <v/>
      </c>
    </row>
    <row r="8" spans="1:17">
      <c r="A8" s="4" t="s">
        <v>84</v>
      </c>
      <c r="B8" s="5" t="s">
        <v>101</v>
      </c>
      <c r="C8" s="5">
        <v>796</v>
      </c>
      <c r="D8" s="5">
        <v>552</v>
      </c>
      <c r="E8" s="5">
        <v>728</v>
      </c>
      <c r="F8" s="5">
        <v>514</v>
      </c>
      <c r="G8" s="5">
        <v>15.61</v>
      </c>
      <c r="H8" s="5">
        <v>2.9015</v>
      </c>
      <c r="I8" s="5">
        <v>6.58</v>
      </c>
      <c r="J8" s="5">
        <v>2.7427000000000001</v>
      </c>
      <c r="K8" s="5">
        <v>4</v>
      </c>
      <c r="L8">
        <f t="shared" si="0"/>
        <v>15.61</v>
      </c>
      <c r="M8" t="str">
        <f t="shared" si="1"/>
        <v/>
      </c>
      <c r="N8" t="str">
        <f t="shared" si="2"/>
        <v/>
      </c>
      <c r="O8">
        <f t="shared" si="3"/>
        <v>6.58</v>
      </c>
      <c r="P8" t="str">
        <f t="shared" si="4"/>
        <v/>
      </c>
      <c r="Q8" t="str">
        <f t="shared" si="5"/>
        <v/>
      </c>
    </row>
    <row r="9" spans="1:17">
      <c r="A9" s="4" t="s">
        <v>84</v>
      </c>
      <c r="B9" s="5" t="s">
        <v>100</v>
      </c>
      <c r="C9" s="5">
        <v>173</v>
      </c>
      <c r="D9" s="5">
        <v>125</v>
      </c>
      <c r="E9" s="5">
        <v>172</v>
      </c>
      <c r="F9" s="5">
        <v>124</v>
      </c>
      <c r="G9" s="5">
        <v>3.39</v>
      </c>
      <c r="H9" s="5">
        <v>2.2404999999999999</v>
      </c>
      <c r="I9" s="5">
        <v>1.49</v>
      </c>
      <c r="J9" s="5">
        <v>2.1004</v>
      </c>
      <c r="K9" s="5">
        <v>4</v>
      </c>
      <c r="L9">
        <f t="shared" si="0"/>
        <v>3.39</v>
      </c>
      <c r="M9" t="str">
        <f t="shared" si="1"/>
        <v/>
      </c>
      <c r="N9" t="str">
        <f t="shared" si="2"/>
        <v/>
      </c>
      <c r="O9">
        <f t="shared" si="3"/>
        <v>1.49</v>
      </c>
      <c r="P9" t="str">
        <f t="shared" si="4"/>
        <v/>
      </c>
      <c r="Q9" t="str">
        <f t="shared" si="5"/>
        <v/>
      </c>
    </row>
    <row r="10" spans="1:17">
      <c r="A10" s="4" t="s">
        <v>84</v>
      </c>
      <c r="B10" s="5" t="s">
        <v>98</v>
      </c>
      <c r="C10" s="5">
        <v>97</v>
      </c>
      <c r="D10" s="5">
        <v>79</v>
      </c>
      <c r="E10" s="5">
        <v>85</v>
      </c>
      <c r="F10" s="5">
        <v>74</v>
      </c>
      <c r="G10" s="5">
        <v>1.9</v>
      </c>
      <c r="H10" s="5">
        <v>1.9912000000000001</v>
      </c>
      <c r="I10" s="5">
        <v>0.94</v>
      </c>
      <c r="J10" s="5">
        <v>1.9031</v>
      </c>
      <c r="K10" s="5">
        <v>4</v>
      </c>
      <c r="L10">
        <f t="shared" si="0"/>
        <v>1.9</v>
      </c>
      <c r="M10" t="str">
        <f t="shared" si="1"/>
        <v/>
      </c>
      <c r="N10" t="str">
        <f t="shared" si="2"/>
        <v/>
      </c>
      <c r="O10">
        <f t="shared" si="3"/>
        <v>0.94</v>
      </c>
      <c r="P10" t="str">
        <f t="shared" si="4"/>
        <v/>
      </c>
      <c r="Q10" t="str">
        <f t="shared" si="5"/>
        <v/>
      </c>
    </row>
    <row r="11" spans="1:17">
      <c r="A11" s="4" t="s">
        <v>84</v>
      </c>
      <c r="B11" s="5" t="s">
        <v>97</v>
      </c>
      <c r="C11" s="5">
        <v>27</v>
      </c>
      <c r="D11" s="5">
        <v>24</v>
      </c>
      <c r="E11" s="5">
        <v>20</v>
      </c>
      <c r="F11" s="5">
        <v>19</v>
      </c>
      <c r="G11" s="5">
        <v>0.53</v>
      </c>
      <c r="H11" s="5">
        <v>1.4472</v>
      </c>
      <c r="I11" s="5">
        <v>0.28999999999999998</v>
      </c>
      <c r="J11" s="5">
        <v>1.3978999999999999</v>
      </c>
      <c r="K11" s="5">
        <v>4</v>
      </c>
      <c r="L11">
        <f t="shared" si="0"/>
        <v>0.53</v>
      </c>
      <c r="M11" t="str">
        <f t="shared" si="1"/>
        <v/>
      </c>
      <c r="N11" t="str">
        <f t="shared" si="2"/>
        <v/>
      </c>
      <c r="O11">
        <f t="shared" si="3"/>
        <v>0.28999999999999998</v>
      </c>
      <c r="P11" t="str">
        <f t="shared" si="4"/>
        <v/>
      </c>
      <c r="Q11" t="str">
        <f t="shared" si="5"/>
        <v/>
      </c>
    </row>
    <row r="12" spans="1:17">
      <c r="A12" s="8" t="s">
        <v>83</v>
      </c>
      <c r="B12" s="9" t="s">
        <v>37</v>
      </c>
      <c r="C12" s="9">
        <v>2318</v>
      </c>
      <c r="D12" s="9">
        <v>1196</v>
      </c>
      <c r="E12" s="9">
        <v>2007</v>
      </c>
      <c r="F12" s="9">
        <v>1095</v>
      </c>
      <c r="G12" s="9">
        <v>45.45</v>
      </c>
      <c r="H12" s="9">
        <v>3.3653</v>
      </c>
      <c r="I12" s="9">
        <v>14.26</v>
      </c>
      <c r="J12" s="9">
        <v>3.0781000000000001</v>
      </c>
      <c r="K12" s="9">
        <v>4</v>
      </c>
      <c r="L12" t="str">
        <f t="shared" si="0"/>
        <v/>
      </c>
      <c r="M12">
        <f t="shared" si="1"/>
        <v>45.45</v>
      </c>
      <c r="N12" t="str">
        <f t="shared" si="2"/>
        <v/>
      </c>
      <c r="O12" t="str">
        <f t="shared" si="3"/>
        <v/>
      </c>
      <c r="P12">
        <f t="shared" si="4"/>
        <v>14.26</v>
      </c>
      <c r="Q12" t="str">
        <f t="shared" si="5"/>
        <v/>
      </c>
    </row>
    <row r="13" spans="1:17">
      <c r="A13" s="8" t="s">
        <v>83</v>
      </c>
      <c r="B13" s="9" t="s">
        <v>36</v>
      </c>
      <c r="C13" s="9">
        <v>3783</v>
      </c>
      <c r="D13" s="9">
        <v>1546</v>
      </c>
      <c r="E13" s="9">
        <v>3607</v>
      </c>
      <c r="F13" s="9">
        <v>1504</v>
      </c>
      <c r="G13" s="9">
        <v>74.180000000000007</v>
      </c>
      <c r="H13" s="9">
        <v>3.5779999999999998</v>
      </c>
      <c r="I13" s="9">
        <v>18.43</v>
      </c>
      <c r="J13" s="9">
        <v>3.1894999999999998</v>
      </c>
      <c r="K13" s="9">
        <v>3</v>
      </c>
      <c r="L13" t="str">
        <f t="shared" si="0"/>
        <v/>
      </c>
      <c r="M13">
        <f t="shared" si="1"/>
        <v>74.180000000000007</v>
      </c>
      <c r="N13" t="str">
        <f t="shared" si="2"/>
        <v/>
      </c>
      <c r="O13" t="str">
        <f t="shared" si="3"/>
        <v/>
      </c>
      <c r="P13">
        <f t="shared" si="4"/>
        <v>18.43</v>
      </c>
      <c r="Q13" t="str">
        <f t="shared" si="5"/>
        <v/>
      </c>
    </row>
    <row r="14" spans="1:17">
      <c r="A14" s="8" t="s">
        <v>83</v>
      </c>
      <c r="B14" s="9" t="s">
        <v>35</v>
      </c>
      <c r="C14" s="9">
        <v>2990</v>
      </c>
      <c r="D14" s="9">
        <v>1639</v>
      </c>
      <c r="E14" s="9">
        <v>2893</v>
      </c>
      <c r="F14" s="9">
        <v>1608</v>
      </c>
      <c r="G14" s="9">
        <v>58.63</v>
      </c>
      <c r="H14" s="9">
        <v>3.4758</v>
      </c>
      <c r="I14" s="9">
        <v>19.54</v>
      </c>
      <c r="J14" s="9">
        <v>3.2147999999999999</v>
      </c>
      <c r="K14" s="9">
        <v>5</v>
      </c>
      <c r="L14" t="str">
        <f t="shared" si="0"/>
        <v/>
      </c>
      <c r="M14">
        <f t="shared" si="1"/>
        <v>58.63</v>
      </c>
      <c r="N14" t="str">
        <f t="shared" si="2"/>
        <v/>
      </c>
      <c r="O14" t="str">
        <f t="shared" si="3"/>
        <v/>
      </c>
      <c r="P14">
        <f t="shared" si="4"/>
        <v>19.54</v>
      </c>
      <c r="Q14" t="str">
        <f t="shared" si="5"/>
        <v/>
      </c>
    </row>
    <row r="15" spans="1:17">
      <c r="A15" s="8" t="s">
        <v>83</v>
      </c>
      <c r="B15" s="9" t="s">
        <v>34</v>
      </c>
      <c r="C15" s="9">
        <v>14895</v>
      </c>
      <c r="D15" s="9">
        <v>5286</v>
      </c>
      <c r="E15" s="9">
        <v>14339</v>
      </c>
      <c r="F15" s="9">
        <v>5228</v>
      </c>
      <c r="G15" s="9">
        <v>292.06</v>
      </c>
      <c r="H15" s="9">
        <v>4.1730999999999998</v>
      </c>
      <c r="I15" s="9">
        <v>63.02</v>
      </c>
      <c r="J15" s="9">
        <v>3.7231999999999998</v>
      </c>
      <c r="K15" s="9">
        <v>4</v>
      </c>
      <c r="L15" t="str">
        <f t="shared" si="0"/>
        <v/>
      </c>
      <c r="M15">
        <f t="shared" si="1"/>
        <v>292.06</v>
      </c>
      <c r="N15" t="str">
        <f t="shared" si="2"/>
        <v/>
      </c>
      <c r="O15" t="str">
        <f t="shared" si="3"/>
        <v/>
      </c>
      <c r="P15">
        <f t="shared" si="4"/>
        <v>63.02</v>
      </c>
      <c r="Q15" t="str">
        <f t="shared" si="5"/>
        <v/>
      </c>
    </row>
    <row r="16" spans="1:17">
      <c r="A16" s="8" t="s">
        <v>83</v>
      </c>
      <c r="B16" s="9" t="s">
        <v>33</v>
      </c>
      <c r="C16" s="9">
        <v>4258</v>
      </c>
      <c r="D16" s="9">
        <v>1708</v>
      </c>
      <c r="E16" s="9">
        <v>3618</v>
      </c>
      <c r="F16" s="9">
        <v>1562</v>
      </c>
      <c r="G16" s="9">
        <v>83.49</v>
      </c>
      <c r="H16" s="9">
        <v>3.6293000000000002</v>
      </c>
      <c r="I16" s="9">
        <v>20.36</v>
      </c>
      <c r="J16" s="9">
        <v>3.2326999999999999</v>
      </c>
      <c r="K16" s="9">
        <v>4</v>
      </c>
      <c r="L16" t="str">
        <f t="shared" si="0"/>
        <v/>
      </c>
      <c r="M16">
        <f t="shared" si="1"/>
        <v>83.49</v>
      </c>
      <c r="N16" t="str">
        <f t="shared" si="2"/>
        <v/>
      </c>
      <c r="O16" t="str">
        <f t="shared" si="3"/>
        <v/>
      </c>
      <c r="P16">
        <f t="shared" si="4"/>
        <v>20.36</v>
      </c>
      <c r="Q16" t="str">
        <f t="shared" si="5"/>
        <v/>
      </c>
    </row>
    <row r="17" spans="1:17">
      <c r="A17" s="8" t="s">
        <v>83</v>
      </c>
      <c r="B17" s="9" t="s">
        <v>32</v>
      </c>
      <c r="C17" s="9">
        <v>450</v>
      </c>
      <c r="D17" s="9">
        <v>316</v>
      </c>
      <c r="E17" s="9">
        <v>390</v>
      </c>
      <c r="F17" s="9">
        <v>285</v>
      </c>
      <c r="G17" s="9">
        <v>8.82</v>
      </c>
      <c r="H17" s="9">
        <v>2.6541999999999999</v>
      </c>
      <c r="I17" s="9">
        <v>3.77</v>
      </c>
      <c r="J17" s="9">
        <v>2.5011000000000001</v>
      </c>
      <c r="K17" s="9">
        <v>4</v>
      </c>
      <c r="L17" t="str">
        <f t="shared" si="0"/>
        <v/>
      </c>
      <c r="M17">
        <f t="shared" si="1"/>
        <v>8.82</v>
      </c>
      <c r="N17" t="str">
        <f t="shared" si="2"/>
        <v/>
      </c>
      <c r="O17" t="str">
        <f t="shared" si="3"/>
        <v/>
      </c>
      <c r="P17">
        <f t="shared" si="4"/>
        <v>3.77</v>
      </c>
      <c r="Q17" t="str">
        <f t="shared" si="5"/>
        <v/>
      </c>
    </row>
    <row r="18" spans="1:17">
      <c r="A18" s="8" t="s">
        <v>83</v>
      </c>
      <c r="B18" s="9" t="s">
        <v>31</v>
      </c>
      <c r="C18" s="9">
        <v>14262</v>
      </c>
      <c r="D18" s="9">
        <v>5562</v>
      </c>
      <c r="E18" s="9">
        <v>13466</v>
      </c>
      <c r="F18" s="9">
        <v>5431</v>
      </c>
      <c r="G18" s="9">
        <v>279.64999999999998</v>
      </c>
      <c r="H18" s="9">
        <v>4.1542000000000003</v>
      </c>
      <c r="I18" s="9">
        <v>66.31</v>
      </c>
      <c r="J18" s="9">
        <v>3.7452999999999999</v>
      </c>
      <c r="K18" s="9">
        <v>4</v>
      </c>
      <c r="L18" t="str">
        <f t="shared" si="0"/>
        <v/>
      </c>
      <c r="M18">
        <f t="shared" si="1"/>
        <v>279.64999999999998</v>
      </c>
      <c r="N18" t="str">
        <f t="shared" si="2"/>
        <v/>
      </c>
      <c r="O18" t="str">
        <f t="shared" si="3"/>
        <v/>
      </c>
      <c r="P18">
        <f t="shared" si="4"/>
        <v>66.31</v>
      </c>
      <c r="Q18" t="str">
        <f t="shared" si="5"/>
        <v/>
      </c>
    </row>
    <row r="19" spans="1:17">
      <c r="A19" s="8" t="s">
        <v>83</v>
      </c>
      <c r="B19" s="9" t="s">
        <v>30</v>
      </c>
      <c r="C19" s="9">
        <v>117</v>
      </c>
      <c r="D19" s="9">
        <v>76</v>
      </c>
      <c r="E19" s="9">
        <v>113</v>
      </c>
      <c r="F19" s="9">
        <v>72</v>
      </c>
      <c r="G19" s="9">
        <v>2.29</v>
      </c>
      <c r="H19" s="9">
        <v>2.0718999999999999</v>
      </c>
      <c r="I19" s="9">
        <v>0.91</v>
      </c>
      <c r="J19" s="9">
        <v>1.8865000000000001</v>
      </c>
      <c r="K19" s="9">
        <v>4</v>
      </c>
      <c r="L19" t="str">
        <f t="shared" si="0"/>
        <v/>
      </c>
      <c r="M19">
        <f t="shared" si="1"/>
        <v>2.29</v>
      </c>
      <c r="N19" t="str">
        <f t="shared" si="2"/>
        <v/>
      </c>
      <c r="O19" t="str">
        <f t="shared" si="3"/>
        <v/>
      </c>
      <c r="P19">
        <f t="shared" si="4"/>
        <v>0.91</v>
      </c>
      <c r="Q19" t="str">
        <f t="shared" si="5"/>
        <v/>
      </c>
    </row>
    <row r="20" spans="1:17">
      <c r="A20" s="8" t="s">
        <v>83</v>
      </c>
      <c r="B20" s="9" t="s">
        <v>28</v>
      </c>
      <c r="C20" s="9">
        <v>388</v>
      </c>
      <c r="D20" s="9">
        <v>270</v>
      </c>
      <c r="E20" s="9">
        <v>342</v>
      </c>
      <c r="F20" s="9">
        <v>256</v>
      </c>
      <c r="G20" s="9">
        <v>7.61</v>
      </c>
      <c r="H20" s="9">
        <v>2.5899000000000001</v>
      </c>
      <c r="I20" s="9">
        <v>3.22</v>
      </c>
      <c r="J20" s="9">
        <v>2.4329999999999998</v>
      </c>
      <c r="K20" s="9">
        <v>5</v>
      </c>
      <c r="L20" t="str">
        <f t="shared" si="0"/>
        <v/>
      </c>
      <c r="M20">
        <f t="shared" si="1"/>
        <v>7.61</v>
      </c>
      <c r="N20" t="str">
        <f t="shared" si="2"/>
        <v/>
      </c>
      <c r="O20" t="str">
        <f t="shared" si="3"/>
        <v/>
      </c>
      <c r="P20">
        <f t="shared" si="4"/>
        <v>3.22</v>
      </c>
      <c r="Q20" t="str">
        <f t="shared" si="5"/>
        <v/>
      </c>
    </row>
    <row r="21" spans="1:17">
      <c r="A21" s="8" t="s">
        <v>83</v>
      </c>
      <c r="B21" s="9" t="s">
        <v>27</v>
      </c>
      <c r="C21" s="9">
        <v>3315</v>
      </c>
      <c r="D21" s="9">
        <v>1622</v>
      </c>
      <c r="E21" s="9">
        <v>3093</v>
      </c>
      <c r="F21" s="9">
        <v>1551</v>
      </c>
      <c r="G21" s="9">
        <v>65</v>
      </c>
      <c r="H21" s="9">
        <v>3.5206</v>
      </c>
      <c r="I21" s="9">
        <v>19.34</v>
      </c>
      <c r="J21" s="9">
        <v>3.2103000000000002</v>
      </c>
      <c r="K21" s="9">
        <v>4</v>
      </c>
      <c r="L21" t="str">
        <f t="shared" si="0"/>
        <v/>
      </c>
      <c r="M21">
        <f t="shared" si="1"/>
        <v>65</v>
      </c>
      <c r="N21" t="str">
        <f t="shared" si="2"/>
        <v/>
      </c>
      <c r="O21" t="str">
        <f t="shared" si="3"/>
        <v/>
      </c>
      <c r="P21">
        <f t="shared" si="4"/>
        <v>19.34</v>
      </c>
      <c r="Q21" t="str">
        <f t="shared" si="5"/>
        <v/>
      </c>
    </row>
    <row r="22" spans="1:17">
      <c r="A22" s="6" t="s">
        <v>82</v>
      </c>
      <c r="B22" s="7" t="s">
        <v>26</v>
      </c>
      <c r="C22" s="7">
        <v>4796</v>
      </c>
      <c r="D22" s="7">
        <v>2508</v>
      </c>
      <c r="E22" s="7">
        <v>4600</v>
      </c>
      <c r="F22" s="7">
        <v>2458</v>
      </c>
      <c r="G22" s="7">
        <v>94.04</v>
      </c>
      <c r="H22" s="7">
        <v>3.681</v>
      </c>
      <c r="I22" s="7">
        <v>29.9</v>
      </c>
      <c r="J22" s="7">
        <v>3.3995000000000002</v>
      </c>
      <c r="K22" s="7">
        <v>3</v>
      </c>
      <c r="L22" t="str">
        <f t="shared" si="0"/>
        <v/>
      </c>
      <c r="M22" t="str">
        <f t="shared" si="1"/>
        <v/>
      </c>
      <c r="N22">
        <f t="shared" si="2"/>
        <v>94.04</v>
      </c>
      <c r="O22" t="str">
        <f t="shared" si="3"/>
        <v/>
      </c>
      <c r="P22" t="str">
        <f t="shared" si="4"/>
        <v/>
      </c>
      <c r="Q22">
        <f t="shared" si="5"/>
        <v>29.9</v>
      </c>
    </row>
    <row r="23" spans="1:17">
      <c r="A23" s="6" t="s">
        <v>82</v>
      </c>
      <c r="B23" s="7" t="s">
        <v>25</v>
      </c>
      <c r="C23" s="7">
        <v>1052</v>
      </c>
      <c r="D23" s="7">
        <v>561</v>
      </c>
      <c r="E23" s="7">
        <v>913</v>
      </c>
      <c r="F23" s="7">
        <v>525</v>
      </c>
      <c r="G23" s="7">
        <v>20.63</v>
      </c>
      <c r="H23" s="7">
        <v>3.0224000000000002</v>
      </c>
      <c r="I23" s="7">
        <v>6.69</v>
      </c>
      <c r="J23" s="7">
        <v>2.7496999999999998</v>
      </c>
      <c r="K23" s="7">
        <v>3</v>
      </c>
      <c r="L23" t="str">
        <f t="shared" si="0"/>
        <v/>
      </c>
      <c r="M23" t="str">
        <f t="shared" si="1"/>
        <v/>
      </c>
      <c r="N23">
        <f t="shared" si="2"/>
        <v>20.63</v>
      </c>
      <c r="O23" t="str">
        <f t="shared" si="3"/>
        <v/>
      </c>
      <c r="P23" t="str">
        <f t="shared" si="4"/>
        <v/>
      </c>
      <c r="Q23">
        <f t="shared" si="5"/>
        <v>6.69</v>
      </c>
    </row>
    <row r="24" spans="1:17">
      <c r="A24" s="6" t="s">
        <v>82</v>
      </c>
      <c r="B24" s="7" t="s">
        <v>24</v>
      </c>
      <c r="C24" s="7">
        <v>94133</v>
      </c>
      <c r="D24" s="7">
        <v>8054</v>
      </c>
      <c r="E24" s="7">
        <v>84739</v>
      </c>
      <c r="F24" s="7">
        <v>7956</v>
      </c>
      <c r="G24" s="7">
        <v>1845.75</v>
      </c>
      <c r="H24" s="7">
        <v>4.9737</v>
      </c>
      <c r="I24" s="7">
        <v>96.02</v>
      </c>
      <c r="J24" s="7">
        <v>3.9060999999999999</v>
      </c>
      <c r="K24" s="7">
        <v>3</v>
      </c>
      <c r="L24" t="str">
        <f t="shared" si="0"/>
        <v/>
      </c>
      <c r="M24" t="str">
        <f t="shared" si="1"/>
        <v/>
      </c>
      <c r="N24">
        <f t="shared" si="2"/>
        <v>1845.75</v>
      </c>
      <c r="O24" t="str">
        <f t="shared" si="3"/>
        <v/>
      </c>
      <c r="P24" t="str">
        <f t="shared" si="4"/>
        <v/>
      </c>
      <c r="Q24">
        <f t="shared" si="5"/>
        <v>96.02</v>
      </c>
    </row>
    <row r="25" spans="1:17">
      <c r="A25" s="6" t="s">
        <v>82</v>
      </c>
      <c r="B25" s="7" t="s">
        <v>23</v>
      </c>
      <c r="C25" s="7">
        <v>178</v>
      </c>
      <c r="D25" s="7">
        <v>139</v>
      </c>
      <c r="E25" s="7">
        <v>166</v>
      </c>
      <c r="F25" s="7">
        <v>135</v>
      </c>
      <c r="G25" s="7">
        <v>3.49</v>
      </c>
      <c r="H25" s="7">
        <v>2.2528999999999999</v>
      </c>
      <c r="I25" s="7">
        <v>1.66</v>
      </c>
      <c r="J25" s="7">
        <v>2.1461000000000001</v>
      </c>
      <c r="K25" s="7">
        <v>3</v>
      </c>
      <c r="L25" t="str">
        <f t="shared" si="0"/>
        <v/>
      </c>
      <c r="M25" t="str">
        <f t="shared" si="1"/>
        <v/>
      </c>
      <c r="N25">
        <f t="shared" si="2"/>
        <v>3.49</v>
      </c>
      <c r="O25" t="str">
        <f t="shared" si="3"/>
        <v/>
      </c>
      <c r="P25" t="str">
        <f t="shared" si="4"/>
        <v/>
      </c>
      <c r="Q25">
        <f t="shared" si="5"/>
        <v>1.66</v>
      </c>
    </row>
    <row r="26" spans="1:17">
      <c r="A26" s="6" t="s">
        <v>82</v>
      </c>
      <c r="B26" s="7" t="s">
        <v>22</v>
      </c>
      <c r="C26" s="7">
        <v>627</v>
      </c>
      <c r="D26" s="7">
        <v>366</v>
      </c>
      <c r="E26" s="7">
        <v>345</v>
      </c>
      <c r="F26" s="7">
        <v>265</v>
      </c>
      <c r="G26" s="7">
        <v>12.29</v>
      </c>
      <c r="H26" s="7">
        <v>2.798</v>
      </c>
      <c r="I26" s="7">
        <v>4.3600000000000003</v>
      </c>
      <c r="J26" s="7">
        <v>2.5647000000000002</v>
      </c>
      <c r="K26" s="7">
        <v>3</v>
      </c>
      <c r="L26" t="str">
        <f t="shared" si="0"/>
        <v/>
      </c>
      <c r="M26" t="str">
        <f t="shared" si="1"/>
        <v/>
      </c>
      <c r="N26">
        <f t="shared" si="2"/>
        <v>12.29</v>
      </c>
      <c r="O26" t="str">
        <f t="shared" si="3"/>
        <v/>
      </c>
      <c r="P26" t="str">
        <f t="shared" si="4"/>
        <v/>
      </c>
      <c r="Q26">
        <f t="shared" si="5"/>
        <v>4.3600000000000003</v>
      </c>
    </row>
    <row r="27" spans="1:17">
      <c r="A27" s="6" t="s">
        <v>82</v>
      </c>
      <c r="B27" s="7" t="s">
        <v>21</v>
      </c>
      <c r="C27" s="7">
        <v>933</v>
      </c>
      <c r="D27" s="7">
        <v>357</v>
      </c>
      <c r="E27" s="7">
        <v>178</v>
      </c>
      <c r="F27" s="7">
        <v>156</v>
      </c>
      <c r="G27" s="7">
        <v>18.29</v>
      </c>
      <c r="H27" s="7">
        <v>2.9702999999999999</v>
      </c>
      <c r="I27" s="7">
        <v>4.26</v>
      </c>
      <c r="J27" s="7">
        <v>2.5539000000000001</v>
      </c>
      <c r="K27" s="7">
        <v>3</v>
      </c>
      <c r="L27" t="str">
        <f t="shared" si="0"/>
        <v/>
      </c>
      <c r="M27" t="str">
        <f t="shared" si="1"/>
        <v/>
      </c>
      <c r="N27">
        <f t="shared" si="2"/>
        <v>18.29</v>
      </c>
      <c r="O27" t="str">
        <f t="shared" si="3"/>
        <v/>
      </c>
      <c r="P27" t="str">
        <f t="shared" si="4"/>
        <v/>
      </c>
      <c r="Q27">
        <f t="shared" si="5"/>
        <v>4.26</v>
      </c>
    </row>
    <row r="28" spans="1:17">
      <c r="A28" s="6" t="s">
        <v>82</v>
      </c>
      <c r="B28" s="7" t="s">
        <v>20</v>
      </c>
      <c r="C28" s="7">
        <v>4296</v>
      </c>
      <c r="D28" s="7">
        <v>2870</v>
      </c>
      <c r="E28" s="7">
        <v>4154</v>
      </c>
      <c r="F28" s="7">
        <v>2808</v>
      </c>
      <c r="G28" s="7">
        <v>84.24</v>
      </c>
      <c r="H28" s="7">
        <v>3.6332</v>
      </c>
      <c r="I28" s="7">
        <v>34.22</v>
      </c>
      <c r="J28" s="7">
        <v>3.4580000000000002</v>
      </c>
      <c r="K28" s="7">
        <v>3</v>
      </c>
      <c r="L28" t="str">
        <f t="shared" si="0"/>
        <v/>
      </c>
      <c r="M28" t="str">
        <f t="shared" si="1"/>
        <v/>
      </c>
      <c r="N28">
        <f t="shared" si="2"/>
        <v>84.24</v>
      </c>
      <c r="O28" t="str">
        <f t="shared" si="3"/>
        <v/>
      </c>
      <c r="P28" t="str">
        <f t="shared" si="4"/>
        <v/>
      </c>
      <c r="Q28">
        <f t="shared" si="5"/>
        <v>34.22</v>
      </c>
    </row>
    <row r="29" spans="1:17">
      <c r="A29" s="6" t="s">
        <v>82</v>
      </c>
      <c r="B29" s="7" t="s">
        <v>19</v>
      </c>
      <c r="C29" s="7">
        <v>1663</v>
      </c>
      <c r="D29" s="7">
        <v>941</v>
      </c>
      <c r="E29" s="7">
        <v>1489</v>
      </c>
      <c r="F29" s="7">
        <v>893</v>
      </c>
      <c r="G29" s="7">
        <v>32.61</v>
      </c>
      <c r="H29" s="7">
        <v>3.2212000000000001</v>
      </c>
      <c r="I29" s="7">
        <v>11.22</v>
      </c>
      <c r="J29" s="7">
        <v>2.9741</v>
      </c>
      <c r="K29" s="7">
        <v>3</v>
      </c>
      <c r="L29" t="str">
        <f t="shared" si="0"/>
        <v/>
      </c>
      <c r="M29" t="str">
        <f t="shared" si="1"/>
        <v/>
      </c>
      <c r="N29">
        <f t="shared" si="2"/>
        <v>32.61</v>
      </c>
      <c r="O29" t="str">
        <f t="shared" si="3"/>
        <v/>
      </c>
      <c r="P29" t="str">
        <f t="shared" si="4"/>
        <v/>
      </c>
      <c r="Q29">
        <f t="shared" si="5"/>
        <v>11.22</v>
      </c>
    </row>
    <row r="30" spans="1:17">
      <c r="A30" s="6" t="s">
        <v>82</v>
      </c>
      <c r="B30" s="7" t="s">
        <v>17</v>
      </c>
      <c r="C30" s="7">
        <v>439</v>
      </c>
      <c r="D30" s="7">
        <v>280</v>
      </c>
      <c r="E30" s="7">
        <v>318</v>
      </c>
      <c r="F30" s="7">
        <v>255</v>
      </c>
      <c r="G30" s="7">
        <v>8.61</v>
      </c>
      <c r="H30" s="7">
        <v>2.6435</v>
      </c>
      <c r="I30" s="7">
        <v>3.34</v>
      </c>
      <c r="J30" s="7">
        <v>2.4487000000000001</v>
      </c>
      <c r="K30" s="7">
        <v>3</v>
      </c>
      <c r="L30" t="str">
        <f t="shared" si="0"/>
        <v/>
      </c>
      <c r="M30" t="str">
        <f t="shared" si="1"/>
        <v/>
      </c>
      <c r="N30">
        <f t="shared" si="2"/>
        <v>8.61</v>
      </c>
      <c r="O30" t="str">
        <f t="shared" si="3"/>
        <v/>
      </c>
      <c r="P30" t="str">
        <f t="shared" si="4"/>
        <v/>
      </c>
      <c r="Q30">
        <f t="shared" si="5"/>
        <v>3.34</v>
      </c>
    </row>
    <row r="31" spans="1:17">
      <c r="A31" s="6" t="s">
        <v>82</v>
      </c>
      <c r="B31" s="7" t="s">
        <v>16</v>
      </c>
      <c r="C31" s="7">
        <v>752</v>
      </c>
      <c r="D31" s="7">
        <v>480</v>
      </c>
      <c r="E31" s="7">
        <v>653</v>
      </c>
      <c r="F31" s="7">
        <v>440</v>
      </c>
      <c r="G31" s="7">
        <v>14.75</v>
      </c>
      <c r="H31" s="7">
        <v>2.8767999999999998</v>
      </c>
      <c r="I31" s="7">
        <v>5.72</v>
      </c>
      <c r="J31" s="7">
        <v>2.6821000000000002</v>
      </c>
      <c r="K31" s="7">
        <v>3</v>
      </c>
      <c r="L31" t="str">
        <f t="shared" si="0"/>
        <v/>
      </c>
      <c r="M31" t="str">
        <f t="shared" si="1"/>
        <v/>
      </c>
      <c r="N31">
        <f t="shared" si="2"/>
        <v>14.75</v>
      </c>
      <c r="O31" t="str">
        <f t="shared" si="3"/>
        <v/>
      </c>
      <c r="P31" t="str">
        <f t="shared" si="4"/>
        <v/>
      </c>
      <c r="Q31">
        <f t="shared" si="5"/>
        <v>5.72</v>
      </c>
    </row>
    <row r="33" spans="11:17">
      <c r="K33" s="11" t="s">
        <v>14</v>
      </c>
      <c r="L33">
        <f>AVERAGE(L2:L31)</f>
        <v>550.45699999999988</v>
      </c>
      <c r="M33">
        <f t="shared" ref="M33:N33" si="6">AVERAGE(M2:M31)</f>
        <v>91.718000000000004</v>
      </c>
      <c r="N33">
        <f t="shared" si="6"/>
        <v>213.47000000000003</v>
      </c>
      <c r="O33" s="10">
        <f>AVERAGE(O2:O31)</f>
        <v>27.574000000000005</v>
      </c>
      <c r="P33" s="10">
        <f t="shared" ref="P33:Q33" si="7">AVERAGE(P2:P31)</f>
        <v>22.916000000000004</v>
      </c>
      <c r="Q33" s="10">
        <f t="shared" si="7"/>
        <v>19.738999999999997</v>
      </c>
    </row>
    <row r="34" spans="11:17">
      <c r="K34" s="11" t="s">
        <v>15</v>
      </c>
      <c r="L34">
        <f>_xlfn.STDEV.P(L2:L31)</f>
        <v>1312.6131639142588</v>
      </c>
      <c r="M34">
        <f t="shared" ref="M34:N34" si="8">_xlfn.STDEV.P(M2:M31)</f>
        <v>100.858133712656</v>
      </c>
      <c r="N34">
        <f t="shared" si="8"/>
        <v>544.91439736898121</v>
      </c>
      <c r="O34" s="10">
        <f>_xlfn.STDEV.P(O2:O31)</f>
        <v>35.054594335122459</v>
      </c>
      <c r="P34" s="10">
        <f t="shared" ref="P34:Q34" si="9">_xlfn.STDEV.P(P2:P31)</f>
        <v>22.036117262349098</v>
      </c>
      <c r="Q34" s="10">
        <f t="shared" si="9"/>
        <v>27.645992277362733</v>
      </c>
    </row>
  </sheetData>
  <sortState ref="A2:Q31">
    <sortCondition ref="A2:A31"/>
    <sortCondition ref="B2:B3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KEY</vt:lpstr>
      <vt:lpstr>Transcriptions</vt:lpstr>
      <vt:lpstr>Dissimilar_PED</vt:lpstr>
      <vt:lpstr>Similar_PED</vt:lpstr>
      <vt:lpstr>Alternate_PED</vt:lpstr>
      <vt:lpstr>Word Frequency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moneli</cp:lastModifiedBy>
  <dcterms:modified xsi:type="dcterms:W3CDTF">2018-11-07T21:53:43Z</dcterms:modified>
</cp:coreProperties>
</file>